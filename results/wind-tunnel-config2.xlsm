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coventryac-my.sharepoint.com/personal/tsaic6_uni_coventry_ac_uk/Documents/Coursework 2 - 7172,7194,7195/7194 Ground Vehicle Aerodynamics/Coursework 1/"/>
    </mc:Choice>
  </mc:AlternateContent>
  <xr:revisionPtr revIDLastSave="14" documentId="11_D99CDEEC3915F7F98AC0CA595E49FA9BD077B796" xr6:coauthVersionLast="47" xr6:coauthVersionMax="47" xr10:uidLastSave="{DF8D6361-1502-4090-9012-3541BBEC4B13}"/>
  <bookViews>
    <workbookView xWindow="28680" yWindow="-120" windowWidth="29040" windowHeight="15720" firstSheet="1" activeTab="1" xr2:uid="{00000000-000D-0000-FFFF-FFFF00000000}"/>
  </bookViews>
  <sheets>
    <sheet name="Sheet2" sheetId="2" r:id="rId1"/>
    <sheet name="Sheet1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1" l="1"/>
  <c r="N13" i="1"/>
</calcChain>
</file>

<file path=xl/sharedStrings.xml><?xml version="1.0" encoding="utf-8"?>
<sst xmlns="http://schemas.openxmlformats.org/spreadsheetml/2006/main" count="391" uniqueCount="58">
  <si>
    <t>Data Section</t>
  </si>
  <si>
    <t>Data Section Time (sec)</t>
  </si>
  <si>
    <t>Begin Sample</t>
  </si>
  <si>
    <t>Time s</t>
  </si>
  <si>
    <t>End Sample</t>
  </si>
  <si>
    <t>Wind Speed Syn (m/s)</t>
  </si>
  <si>
    <t>mean</t>
  </si>
  <si>
    <t>Air Density (kg/m3)</t>
  </si>
  <si>
    <t>ERAD.1.Pressure 01 (Pa)</t>
  </si>
  <si>
    <t>-</t>
  </si>
  <si>
    <t>ERAD.1.Pressure 02 (Pa)</t>
  </si>
  <si>
    <t>ERAD.1.Pressure 03 (Pa)</t>
  </si>
  <si>
    <t>ERAD.1.Pressure 04 (Pa)</t>
  </si>
  <si>
    <t>ERAD.1.Pressure 05 (Pa)</t>
  </si>
  <si>
    <t>ERAD.1.Pressure 06 (Pa)</t>
  </si>
  <si>
    <t>ERAD.1.Pressure 07 (Pa)</t>
  </si>
  <si>
    <t>ERAD.1.Pressure 08 (Pa)</t>
  </si>
  <si>
    <t>ERAD.1.Pressure 09 (Pa)</t>
  </si>
  <si>
    <t>ERAD.1.Pressure 10 (Pa)</t>
  </si>
  <si>
    <t>ERAD.1.Pressure 11 (Pa)</t>
  </si>
  <si>
    <t>ERAD.1.Pressure 12 (Pa)</t>
  </si>
  <si>
    <t>ERAD.1.Pressure 13 (Pa)</t>
  </si>
  <si>
    <t>ERAD.1.Pressure 14 (Pa)</t>
  </si>
  <si>
    <t>ERAD.1.Pressure 15 (Pa)</t>
  </si>
  <si>
    <t>ERAD.1.Pressure 16 (Pa)</t>
  </si>
  <si>
    <t>ERAD.1.Pressure 17 (Pa)</t>
  </si>
  <si>
    <t>ERAD.1.Pressure 18 (Pa)</t>
  </si>
  <si>
    <t>ERAD.1.Pressure 19 (Pa)</t>
  </si>
  <si>
    <t>ERAD.1.Pressure 20 (Pa)</t>
  </si>
  <si>
    <t>ERAD.1.Pressure 21 (Pa)</t>
  </si>
  <si>
    <t>ERAD.1.Pressure 22 (Pa)</t>
  </si>
  <si>
    <t>ERAD.1.Pressure 23 (Pa)</t>
  </si>
  <si>
    <t>ERAD.1.Pressure 24 (Pa)</t>
  </si>
  <si>
    <t>ERAD.1.Pressure 25 (Pa)</t>
  </si>
  <si>
    <t>ERAD.1.Pressure 26 (Pa)</t>
  </si>
  <si>
    <t>ERAD.1.Pressure 27 (Pa)</t>
  </si>
  <si>
    <t>ERAD.1.Pressure 28 (Pa)</t>
  </si>
  <si>
    <t>ERAD.1.Pressure 29 (Pa)</t>
  </si>
  <si>
    <t>ERAD.1.Pressure 30 (Pa)</t>
  </si>
  <si>
    <t>Yaw Angle Actual (°)</t>
  </si>
  <si>
    <t>Pitch Actuator Actual (user defined)</t>
  </si>
  <si>
    <t>Pressure Ambient Tunnel Hall (mbar)</t>
  </si>
  <si>
    <t>Re</t>
    <phoneticPr fontId="2" type="noConversion"/>
  </si>
  <si>
    <t>Temperature Tunnel Air Temp (°C)</t>
  </si>
  <si>
    <t>Temperature Ambient Tunnel Hall (°C)</t>
  </si>
  <si>
    <t>Dynamic Viscosity (user defined)</t>
  </si>
  <si>
    <t>Drag Force (N)</t>
  </si>
  <si>
    <t>Side Force (N)</t>
  </si>
  <si>
    <t>Lift Force (N)</t>
  </si>
  <si>
    <t>Roll Moment (Nm)</t>
  </si>
  <si>
    <t>Pitch Moment (Nm)</t>
  </si>
  <si>
    <t>Yaw Moment (Nm)</t>
  </si>
  <si>
    <t>Resolved Force X (N)</t>
  </si>
  <si>
    <t>Resolved Force Y (N)</t>
  </si>
  <si>
    <t>Resolved Force Z (N)</t>
  </si>
  <si>
    <t>Resolved Moment Roll (Nm)</t>
  </si>
  <si>
    <t>Resolved Moment Pitch (Nm)</t>
  </si>
  <si>
    <t>Resolved Moment Yaw 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</si>
</sst>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1" fillId="0" borderId="0" xfId="0" applyFont="1"/>
    <xf numFmtId="1" fontId="1" fillId="0" borderId="0" xfId="0" applyNumberFormat="1" applyFont="1"/>
    <xf numFmtId="0" fontId="1" fillId="2" borderId="0" xfId="0" applyFont="1" applyFill="1"/>
    <xf numFmtId="164" fontId="1" fillId="2" borderId="0" xfId="0" applyNumberFormat="1" applyFont="1" applyFill="1"/>
    <xf numFmtId="1" fontId="1" fillId="2" borderId="0" xfId="0" applyNumberFormat="1" applyFont="1" applyFill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0" fontId="0" fillId="0" borderId="0" xfId="0" applyAlignment="1">
      <alignment horizontal="right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40"/>
  <sheetViews>
    <sheetView workbookViewId="0"/>
  </sheetViews>
  <sheetFormatPr defaultRowHeight="14.45"/>
  <cols>
    <col min="2" max="2" width="29.140625" bestFit="1" customWidth="1"/>
    <col min="3" max="3" width="6.7109375" customWidth="1"/>
    <col min="4" max="12" width="12" customWidth="1"/>
    <col min="13" max="18" width="12.7109375" bestFit="1" customWidth="1"/>
  </cols>
  <sheetData>
    <row r="3" spans="2:12">
      <c r="B3" t="s">
        <v>0</v>
      </c>
      <c r="C3" s="1"/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  <row r="4" spans="2:12">
      <c r="B4" t="s">
        <v>1</v>
      </c>
      <c r="C4" s="1"/>
      <c r="D4">
        <v>479.65</v>
      </c>
      <c r="E4">
        <v>479.65</v>
      </c>
      <c r="F4">
        <v>479.65</v>
      </c>
      <c r="G4">
        <v>479.65</v>
      </c>
      <c r="H4">
        <v>479.65</v>
      </c>
      <c r="I4">
        <v>479.65</v>
      </c>
      <c r="J4">
        <v>479.65</v>
      </c>
      <c r="K4">
        <v>479.65</v>
      </c>
      <c r="L4">
        <v>479.65</v>
      </c>
    </row>
    <row r="5" spans="2:12">
      <c r="B5" t="s">
        <v>2</v>
      </c>
      <c r="C5" s="1" t="s">
        <v>3</v>
      </c>
      <c r="D5">
        <v>94.1</v>
      </c>
      <c r="E5">
        <v>140.9</v>
      </c>
      <c r="F5">
        <v>185.9</v>
      </c>
      <c r="G5">
        <v>247.9</v>
      </c>
      <c r="H5">
        <v>286</v>
      </c>
      <c r="I5">
        <v>346.7</v>
      </c>
      <c r="J5">
        <v>381.5</v>
      </c>
      <c r="K5">
        <v>425.8</v>
      </c>
      <c r="L5">
        <v>471</v>
      </c>
    </row>
    <row r="6" spans="2:12">
      <c r="B6" t="s">
        <v>0</v>
      </c>
      <c r="C6" s="1"/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</row>
    <row r="7" spans="2:12">
      <c r="B7" t="s">
        <v>1</v>
      </c>
      <c r="C7" s="1"/>
      <c r="D7">
        <v>479.65</v>
      </c>
      <c r="E7">
        <v>479.65</v>
      </c>
      <c r="F7">
        <v>479.65</v>
      </c>
      <c r="G7">
        <v>479.65</v>
      </c>
      <c r="H7">
        <v>479.65</v>
      </c>
      <c r="I7">
        <v>479.65</v>
      </c>
      <c r="J7">
        <v>479.65</v>
      </c>
      <c r="K7">
        <v>479.65</v>
      </c>
      <c r="L7">
        <v>479.65</v>
      </c>
    </row>
    <row r="8" spans="2:12">
      <c r="B8" t="s">
        <v>4</v>
      </c>
      <c r="C8" s="1" t="s">
        <v>3</v>
      </c>
      <c r="D8">
        <v>100.3</v>
      </c>
      <c r="E8">
        <v>145.80000000000001</v>
      </c>
      <c r="F8">
        <v>190.9</v>
      </c>
      <c r="G8">
        <v>254.8</v>
      </c>
      <c r="H8">
        <v>291</v>
      </c>
      <c r="I8">
        <v>351.7</v>
      </c>
      <c r="J8">
        <v>385.8</v>
      </c>
      <c r="K8">
        <v>431.2</v>
      </c>
      <c r="L8">
        <v>476.3</v>
      </c>
    </row>
    <row r="9" spans="2:12">
      <c r="B9" t="s">
        <v>5</v>
      </c>
      <c r="C9" s="1" t="s">
        <v>6</v>
      </c>
      <c r="D9">
        <v>5.1244025214163544</v>
      </c>
      <c r="E9">
        <v>10.080051225552756</v>
      </c>
      <c r="F9">
        <v>14.870300767382233</v>
      </c>
      <c r="G9">
        <v>19.983964452344466</v>
      </c>
      <c r="H9">
        <v>24.915464128190223</v>
      </c>
      <c r="I9">
        <v>29.852588815320519</v>
      </c>
      <c r="J9">
        <v>35.099331500252198</v>
      </c>
      <c r="K9">
        <v>39.979784980014941</v>
      </c>
      <c r="L9">
        <v>45.140429048917767</v>
      </c>
    </row>
    <row r="10" spans="2:12">
      <c r="B10" t="s">
        <v>7</v>
      </c>
      <c r="C10" s="1" t="s">
        <v>6</v>
      </c>
      <c r="D10">
        <v>1.1844010140968566</v>
      </c>
      <c r="E10">
        <v>1.1848106982549822</v>
      </c>
      <c r="F10">
        <v>1.1846310588855258</v>
      </c>
      <c r="G10">
        <v>1.1835669755353309</v>
      </c>
      <c r="H10">
        <v>1.1825279142275942</v>
      </c>
      <c r="I10">
        <v>1.179584004261959</v>
      </c>
      <c r="J10">
        <v>1.1777800294798222</v>
      </c>
      <c r="K10">
        <v>1.1779416345727158</v>
      </c>
      <c r="L10">
        <v>1.1770043146078235</v>
      </c>
    </row>
    <row r="11" spans="2:12">
      <c r="B11" t="s">
        <v>8</v>
      </c>
      <c r="C11" s="1" t="s">
        <v>6</v>
      </c>
      <c r="D11" t="s">
        <v>9</v>
      </c>
      <c r="E11" t="s">
        <v>9</v>
      </c>
      <c r="F11" t="s">
        <v>9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</row>
    <row r="12" spans="2:12">
      <c r="B12" t="s">
        <v>10</v>
      </c>
      <c r="C12" s="1" t="s">
        <v>6</v>
      </c>
      <c r="D12" t="s">
        <v>9</v>
      </c>
      <c r="E12" t="s">
        <v>9</v>
      </c>
      <c r="F12" t="s">
        <v>9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</row>
    <row r="13" spans="2:12">
      <c r="B13" t="s">
        <v>11</v>
      </c>
      <c r="C13" s="1" t="s">
        <v>6</v>
      </c>
      <c r="D13" t="s">
        <v>9</v>
      </c>
      <c r="E13" t="s">
        <v>9</v>
      </c>
      <c r="F13" t="s">
        <v>9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</row>
    <row r="14" spans="2:12">
      <c r="B14" t="s">
        <v>12</v>
      </c>
      <c r="C14" s="1" t="s">
        <v>6</v>
      </c>
      <c r="D14" t="s">
        <v>9</v>
      </c>
      <c r="E14" t="s">
        <v>9</v>
      </c>
      <c r="F14" t="s">
        <v>9</v>
      </c>
      <c r="G14" t="s">
        <v>9</v>
      </c>
      <c r="H14" t="s">
        <v>9</v>
      </c>
      <c r="I14" t="s">
        <v>9</v>
      </c>
      <c r="J14" t="s">
        <v>9</v>
      </c>
      <c r="K14" t="s">
        <v>9</v>
      </c>
      <c r="L14" t="s">
        <v>9</v>
      </c>
    </row>
    <row r="15" spans="2:12">
      <c r="B15" t="s">
        <v>13</v>
      </c>
      <c r="C15" s="1" t="s">
        <v>6</v>
      </c>
      <c r="D15" t="s">
        <v>9</v>
      </c>
      <c r="E15" t="s">
        <v>9</v>
      </c>
      <c r="F15" t="s">
        <v>9</v>
      </c>
      <c r="G15" t="s">
        <v>9</v>
      </c>
      <c r="H15" t="s">
        <v>9</v>
      </c>
      <c r="I15" t="s">
        <v>9</v>
      </c>
      <c r="J15" t="s">
        <v>9</v>
      </c>
      <c r="K15" t="s">
        <v>9</v>
      </c>
      <c r="L15" t="s">
        <v>9</v>
      </c>
    </row>
    <row r="16" spans="2:12">
      <c r="B16" t="s">
        <v>14</v>
      </c>
      <c r="C16" s="1" t="s">
        <v>6</v>
      </c>
      <c r="D16" t="s">
        <v>9</v>
      </c>
      <c r="E16" t="s">
        <v>9</v>
      </c>
      <c r="F16" t="s">
        <v>9</v>
      </c>
      <c r="G16" t="s">
        <v>9</v>
      </c>
      <c r="H16" t="s">
        <v>9</v>
      </c>
      <c r="I16" t="s">
        <v>9</v>
      </c>
      <c r="J16" t="s">
        <v>9</v>
      </c>
      <c r="K16" t="s">
        <v>9</v>
      </c>
      <c r="L16" t="s">
        <v>9</v>
      </c>
    </row>
    <row r="17" spans="2:12">
      <c r="B17" t="s">
        <v>15</v>
      </c>
      <c r="C17" s="1" t="s">
        <v>6</v>
      </c>
      <c r="D17" t="s">
        <v>9</v>
      </c>
      <c r="E17" t="s">
        <v>9</v>
      </c>
      <c r="F17" t="s">
        <v>9</v>
      </c>
      <c r="G17" t="s">
        <v>9</v>
      </c>
      <c r="H17" t="s">
        <v>9</v>
      </c>
      <c r="I17" t="s">
        <v>9</v>
      </c>
      <c r="J17" t="s">
        <v>9</v>
      </c>
      <c r="K17" t="s">
        <v>9</v>
      </c>
      <c r="L17" t="s">
        <v>9</v>
      </c>
    </row>
    <row r="18" spans="2:12">
      <c r="B18" t="s">
        <v>16</v>
      </c>
      <c r="C18" s="1" t="s">
        <v>6</v>
      </c>
      <c r="D18" t="s">
        <v>9</v>
      </c>
      <c r="E18" t="s">
        <v>9</v>
      </c>
      <c r="F18" t="s">
        <v>9</v>
      </c>
      <c r="G18" t="s">
        <v>9</v>
      </c>
      <c r="H18" t="s">
        <v>9</v>
      </c>
      <c r="I18" t="s">
        <v>9</v>
      </c>
      <c r="J18" t="s">
        <v>9</v>
      </c>
      <c r="K18" t="s">
        <v>9</v>
      </c>
      <c r="L18" t="s">
        <v>9</v>
      </c>
    </row>
    <row r="19" spans="2:12">
      <c r="B19" t="s">
        <v>17</v>
      </c>
      <c r="C19" s="1" t="s">
        <v>6</v>
      </c>
      <c r="D19" t="s">
        <v>9</v>
      </c>
      <c r="E19" t="s">
        <v>9</v>
      </c>
      <c r="F19" t="s">
        <v>9</v>
      </c>
      <c r="G19" t="s">
        <v>9</v>
      </c>
      <c r="H19" t="s">
        <v>9</v>
      </c>
      <c r="I19" t="s">
        <v>9</v>
      </c>
      <c r="J19" t="s">
        <v>9</v>
      </c>
      <c r="K19" t="s">
        <v>9</v>
      </c>
      <c r="L19" t="s">
        <v>9</v>
      </c>
    </row>
    <row r="20" spans="2:12">
      <c r="B20" t="s">
        <v>18</v>
      </c>
      <c r="C20" s="1" t="s">
        <v>6</v>
      </c>
      <c r="D20" t="s">
        <v>9</v>
      </c>
      <c r="E20" t="s">
        <v>9</v>
      </c>
      <c r="F20" t="s">
        <v>9</v>
      </c>
      <c r="G20" t="s">
        <v>9</v>
      </c>
      <c r="H20" t="s">
        <v>9</v>
      </c>
      <c r="I20" t="s">
        <v>9</v>
      </c>
      <c r="J20" t="s">
        <v>9</v>
      </c>
      <c r="K20" t="s">
        <v>9</v>
      </c>
      <c r="L20" t="s">
        <v>9</v>
      </c>
    </row>
    <row r="21" spans="2:12">
      <c r="B21" t="s">
        <v>19</v>
      </c>
      <c r="C21" s="1" t="s">
        <v>6</v>
      </c>
      <c r="D21" t="s">
        <v>9</v>
      </c>
      <c r="E21" t="s">
        <v>9</v>
      </c>
      <c r="F21" t="s">
        <v>9</v>
      </c>
      <c r="G21" t="s">
        <v>9</v>
      </c>
      <c r="H21" t="s">
        <v>9</v>
      </c>
      <c r="I21" t="s">
        <v>9</v>
      </c>
      <c r="J21" t="s">
        <v>9</v>
      </c>
      <c r="K21" t="s">
        <v>9</v>
      </c>
      <c r="L21" t="s">
        <v>9</v>
      </c>
    </row>
    <row r="22" spans="2:12">
      <c r="B22" t="s">
        <v>20</v>
      </c>
      <c r="C22" s="1" t="s">
        <v>6</v>
      </c>
      <c r="D22" t="s">
        <v>9</v>
      </c>
      <c r="E22" t="s">
        <v>9</v>
      </c>
      <c r="F22" t="s">
        <v>9</v>
      </c>
      <c r="G22" t="s">
        <v>9</v>
      </c>
      <c r="H22" t="s">
        <v>9</v>
      </c>
      <c r="I22" t="s">
        <v>9</v>
      </c>
      <c r="J22" t="s">
        <v>9</v>
      </c>
      <c r="K22" t="s">
        <v>9</v>
      </c>
      <c r="L22" t="s">
        <v>9</v>
      </c>
    </row>
    <row r="23" spans="2:12">
      <c r="B23" t="s">
        <v>21</v>
      </c>
      <c r="C23" s="1" t="s">
        <v>6</v>
      </c>
      <c r="D23" t="s">
        <v>9</v>
      </c>
      <c r="E23" t="s">
        <v>9</v>
      </c>
      <c r="F23" t="s">
        <v>9</v>
      </c>
      <c r="G23" t="s">
        <v>9</v>
      </c>
      <c r="H23" t="s">
        <v>9</v>
      </c>
      <c r="I23" t="s">
        <v>9</v>
      </c>
      <c r="J23" t="s">
        <v>9</v>
      </c>
      <c r="K23" t="s">
        <v>9</v>
      </c>
      <c r="L23" t="s">
        <v>9</v>
      </c>
    </row>
    <row r="24" spans="2:12">
      <c r="B24" t="s">
        <v>22</v>
      </c>
      <c r="C24" s="1" t="s">
        <v>6</v>
      </c>
      <c r="D24" t="s">
        <v>9</v>
      </c>
      <c r="E24" t="s">
        <v>9</v>
      </c>
      <c r="F24" t="s">
        <v>9</v>
      </c>
      <c r="G24" t="s">
        <v>9</v>
      </c>
      <c r="H24" t="s">
        <v>9</v>
      </c>
      <c r="I24" t="s">
        <v>9</v>
      </c>
      <c r="J24" t="s">
        <v>9</v>
      </c>
      <c r="K24" t="s">
        <v>9</v>
      </c>
      <c r="L24" t="s">
        <v>9</v>
      </c>
    </row>
    <row r="25" spans="2:12">
      <c r="B25" t="s">
        <v>23</v>
      </c>
      <c r="C25" s="1" t="s">
        <v>6</v>
      </c>
      <c r="D25" t="s">
        <v>9</v>
      </c>
      <c r="E25" t="s">
        <v>9</v>
      </c>
      <c r="F25" t="s">
        <v>9</v>
      </c>
      <c r="G25" t="s">
        <v>9</v>
      </c>
      <c r="H25" t="s">
        <v>9</v>
      </c>
      <c r="I25" t="s">
        <v>9</v>
      </c>
      <c r="J25" t="s">
        <v>9</v>
      </c>
      <c r="K25" t="s">
        <v>9</v>
      </c>
      <c r="L25" t="s">
        <v>9</v>
      </c>
    </row>
    <row r="26" spans="2:12">
      <c r="B26" t="s">
        <v>24</v>
      </c>
      <c r="C26" s="1" t="s">
        <v>6</v>
      </c>
      <c r="D26" t="s">
        <v>9</v>
      </c>
      <c r="E26" t="s">
        <v>9</v>
      </c>
      <c r="F26" t="s">
        <v>9</v>
      </c>
      <c r="G26" t="s">
        <v>9</v>
      </c>
      <c r="H26" t="s">
        <v>9</v>
      </c>
      <c r="I26" t="s">
        <v>9</v>
      </c>
      <c r="J26" t="s">
        <v>9</v>
      </c>
      <c r="K26" t="s">
        <v>9</v>
      </c>
      <c r="L26" t="s">
        <v>9</v>
      </c>
    </row>
    <row r="27" spans="2:12">
      <c r="B27" t="s">
        <v>25</v>
      </c>
      <c r="C27" s="1" t="s">
        <v>6</v>
      </c>
      <c r="D27" t="s">
        <v>9</v>
      </c>
      <c r="E27" t="s">
        <v>9</v>
      </c>
      <c r="F27" t="s">
        <v>9</v>
      </c>
      <c r="G27" t="s">
        <v>9</v>
      </c>
      <c r="H27" t="s">
        <v>9</v>
      </c>
      <c r="I27" t="s">
        <v>9</v>
      </c>
      <c r="J27" t="s">
        <v>9</v>
      </c>
      <c r="K27" t="s">
        <v>9</v>
      </c>
      <c r="L27" t="s">
        <v>9</v>
      </c>
    </row>
    <row r="28" spans="2:12">
      <c r="B28" t="s">
        <v>26</v>
      </c>
      <c r="C28" s="1" t="s">
        <v>6</v>
      </c>
      <c r="D28" t="s">
        <v>9</v>
      </c>
      <c r="E28" t="s">
        <v>9</v>
      </c>
      <c r="F28" t="s">
        <v>9</v>
      </c>
      <c r="G28" t="s">
        <v>9</v>
      </c>
      <c r="H28" t="s">
        <v>9</v>
      </c>
      <c r="I28" t="s">
        <v>9</v>
      </c>
      <c r="J28" t="s">
        <v>9</v>
      </c>
      <c r="K28" t="s">
        <v>9</v>
      </c>
      <c r="L28" t="s">
        <v>9</v>
      </c>
    </row>
    <row r="29" spans="2:12">
      <c r="B29" t="s">
        <v>27</v>
      </c>
      <c r="C29" s="1" t="s">
        <v>6</v>
      </c>
      <c r="D29" t="s">
        <v>9</v>
      </c>
      <c r="E29" t="s">
        <v>9</v>
      </c>
      <c r="F29" t="s">
        <v>9</v>
      </c>
      <c r="G29" t="s">
        <v>9</v>
      </c>
      <c r="H29" t="s">
        <v>9</v>
      </c>
      <c r="I29" t="s">
        <v>9</v>
      </c>
      <c r="J29" t="s">
        <v>9</v>
      </c>
      <c r="K29" t="s">
        <v>9</v>
      </c>
      <c r="L29" t="s">
        <v>9</v>
      </c>
    </row>
    <row r="30" spans="2:12">
      <c r="B30" t="s">
        <v>28</v>
      </c>
      <c r="C30" s="1" t="s">
        <v>6</v>
      </c>
      <c r="D30" t="s">
        <v>9</v>
      </c>
      <c r="E30" t="s">
        <v>9</v>
      </c>
      <c r="F30" t="s">
        <v>9</v>
      </c>
      <c r="G30" t="s">
        <v>9</v>
      </c>
      <c r="H30" t="s">
        <v>9</v>
      </c>
      <c r="I30" t="s">
        <v>9</v>
      </c>
      <c r="J30" t="s">
        <v>9</v>
      </c>
      <c r="K30" t="s">
        <v>9</v>
      </c>
      <c r="L30" t="s">
        <v>9</v>
      </c>
    </row>
    <row r="31" spans="2:12">
      <c r="B31" t="s">
        <v>29</v>
      </c>
      <c r="C31" s="1" t="s">
        <v>6</v>
      </c>
      <c r="D31" t="s">
        <v>9</v>
      </c>
      <c r="E31" t="s">
        <v>9</v>
      </c>
      <c r="F31" t="s">
        <v>9</v>
      </c>
      <c r="G31" t="s">
        <v>9</v>
      </c>
      <c r="H31" t="s">
        <v>9</v>
      </c>
      <c r="I31" t="s">
        <v>9</v>
      </c>
      <c r="J31" t="s">
        <v>9</v>
      </c>
      <c r="K31" t="s">
        <v>9</v>
      </c>
      <c r="L31" t="s">
        <v>9</v>
      </c>
    </row>
    <row r="32" spans="2:12">
      <c r="B32" t="s">
        <v>30</v>
      </c>
      <c r="C32" s="1" t="s">
        <v>6</v>
      </c>
      <c r="D32" t="s">
        <v>9</v>
      </c>
      <c r="E32" t="s">
        <v>9</v>
      </c>
      <c r="F32" t="s">
        <v>9</v>
      </c>
      <c r="G32" t="s">
        <v>9</v>
      </c>
      <c r="H32" t="s">
        <v>9</v>
      </c>
      <c r="I32" t="s">
        <v>9</v>
      </c>
      <c r="J32" t="s">
        <v>9</v>
      </c>
      <c r="K32" t="s">
        <v>9</v>
      </c>
      <c r="L32" t="s">
        <v>9</v>
      </c>
    </row>
    <row r="33" spans="2:12">
      <c r="B33" t="s">
        <v>31</v>
      </c>
      <c r="C33" s="1" t="s">
        <v>6</v>
      </c>
      <c r="D33" t="s">
        <v>9</v>
      </c>
      <c r="E33" t="s">
        <v>9</v>
      </c>
      <c r="F33" t="s">
        <v>9</v>
      </c>
      <c r="G33" t="s">
        <v>9</v>
      </c>
      <c r="H33" t="s">
        <v>9</v>
      </c>
      <c r="I33" t="s">
        <v>9</v>
      </c>
      <c r="J33" t="s">
        <v>9</v>
      </c>
      <c r="K33" t="s">
        <v>9</v>
      </c>
      <c r="L33" t="s">
        <v>9</v>
      </c>
    </row>
    <row r="34" spans="2:12">
      <c r="B34" t="s">
        <v>32</v>
      </c>
      <c r="C34" s="1" t="s">
        <v>6</v>
      </c>
      <c r="D34" t="s">
        <v>9</v>
      </c>
      <c r="E34" t="s">
        <v>9</v>
      </c>
      <c r="F34" t="s">
        <v>9</v>
      </c>
      <c r="G34" t="s">
        <v>9</v>
      </c>
      <c r="H34" t="s">
        <v>9</v>
      </c>
      <c r="I34" t="s">
        <v>9</v>
      </c>
      <c r="J34" t="s">
        <v>9</v>
      </c>
      <c r="K34" t="s">
        <v>9</v>
      </c>
      <c r="L34" t="s">
        <v>9</v>
      </c>
    </row>
    <row r="35" spans="2:12">
      <c r="B35" t="s">
        <v>33</v>
      </c>
      <c r="C35" s="1" t="s">
        <v>6</v>
      </c>
      <c r="D35" t="s">
        <v>9</v>
      </c>
      <c r="E35" t="s">
        <v>9</v>
      </c>
      <c r="F35" t="s">
        <v>9</v>
      </c>
      <c r="G35" t="s">
        <v>9</v>
      </c>
      <c r="H35" t="s">
        <v>9</v>
      </c>
      <c r="I35" t="s">
        <v>9</v>
      </c>
      <c r="J35" t="s">
        <v>9</v>
      </c>
      <c r="K35" t="s">
        <v>9</v>
      </c>
      <c r="L35" t="s">
        <v>9</v>
      </c>
    </row>
    <row r="36" spans="2:12">
      <c r="B36" t="s">
        <v>34</v>
      </c>
      <c r="C36" s="1" t="s">
        <v>6</v>
      </c>
      <c r="D36" t="s">
        <v>9</v>
      </c>
      <c r="E36" t="s">
        <v>9</v>
      </c>
      <c r="F36" t="s">
        <v>9</v>
      </c>
      <c r="G36" t="s">
        <v>9</v>
      </c>
      <c r="H36" t="s">
        <v>9</v>
      </c>
      <c r="I36" t="s">
        <v>9</v>
      </c>
      <c r="J36" t="s">
        <v>9</v>
      </c>
      <c r="K36" t="s">
        <v>9</v>
      </c>
      <c r="L36" t="s">
        <v>9</v>
      </c>
    </row>
    <row r="37" spans="2:12">
      <c r="B37" t="s">
        <v>35</v>
      </c>
      <c r="C37" s="1" t="s">
        <v>6</v>
      </c>
      <c r="D37" t="s">
        <v>9</v>
      </c>
      <c r="E37" t="s">
        <v>9</v>
      </c>
      <c r="F37" t="s">
        <v>9</v>
      </c>
      <c r="G37" t="s">
        <v>9</v>
      </c>
      <c r="H37" t="s">
        <v>9</v>
      </c>
      <c r="I37" t="s">
        <v>9</v>
      </c>
      <c r="J37" t="s">
        <v>9</v>
      </c>
      <c r="K37" t="s">
        <v>9</v>
      </c>
      <c r="L37" t="s">
        <v>9</v>
      </c>
    </row>
    <row r="38" spans="2:12">
      <c r="B38" t="s">
        <v>36</v>
      </c>
      <c r="C38" s="1" t="s">
        <v>6</v>
      </c>
      <c r="D38" t="s">
        <v>9</v>
      </c>
      <c r="E38" t="s">
        <v>9</v>
      </c>
      <c r="F38" t="s">
        <v>9</v>
      </c>
      <c r="G38" t="s">
        <v>9</v>
      </c>
      <c r="H38" t="s">
        <v>9</v>
      </c>
      <c r="I38" t="s">
        <v>9</v>
      </c>
      <c r="J38" t="s">
        <v>9</v>
      </c>
      <c r="K38" t="s">
        <v>9</v>
      </c>
      <c r="L38" t="s">
        <v>9</v>
      </c>
    </row>
    <row r="39" spans="2:12">
      <c r="B39" t="s">
        <v>37</v>
      </c>
      <c r="C39" s="1" t="s">
        <v>6</v>
      </c>
      <c r="D39" t="s">
        <v>9</v>
      </c>
      <c r="E39" t="s">
        <v>9</v>
      </c>
      <c r="F39" t="s">
        <v>9</v>
      </c>
      <c r="G39" t="s">
        <v>9</v>
      </c>
      <c r="H39" t="s">
        <v>9</v>
      </c>
      <c r="I39" t="s">
        <v>9</v>
      </c>
      <c r="J39" t="s">
        <v>9</v>
      </c>
      <c r="K39" t="s">
        <v>9</v>
      </c>
      <c r="L39" t="s">
        <v>9</v>
      </c>
    </row>
    <row r="40" spans="2:12">
      <c r="B40" t="s">
        <v>38</v>
      </c>
      <c r="C40" s="1" t="s">
        <v>6</v>
      </c>
      <c r="D40" t="s">
        <v>9</v>
      </c>
      <c r="E40" t="s">
        <v>9</v>
      </c>
      <c r="F40" t="s">
        <v>9</v>
      </c>
      <c r="G40" t="s">
        <v>9</v>
      </c>
      <c r="H40" t="s">
        <v>9</v>
      </c>
      <c r="I40" t="s">
        <v>9</v>
      </c>
      <c r="J40" t="s">
        <v>9</v>
      </c>
      <c r="K40" t="s">
        <v>9</v>
      </c>
      <c r="L40" t="s">
        <v>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W28"/>
  <sheetViews>
    <sheetView tabSelected="1" topLeftCell="A6" zoomScaleNormal="100" workbookViewId="0">
      <selection activeCell="O24" sqref="O24"/>
    </sheetView>
  </sheetViews>
  <sheetFormatPr defaultRowHeight="14.45"/>
  <cols>
    <col min="2" max="2" width="35.7109375" bestFit="1" customWidth="1"/>
    <col min="3" max="3" width="6.7109375" customWidth="1"/>
    <col min="4" max="7" width="12.7109375" bestFit="1" customWidth="1"/>
    <col min="8" max="11" width="12.7109375" customWidth="1"/>
    <col min="12" max="12" width="12.7109375" bestFit="1" customWidth="1"/>
    <col min="13" max="13" width="12.7109375" customWidth="1"/>
    <col min="14" max="14" width="13.42578125" bestFit="1" customWidth="1"/>
    <col min="15" max="23" width="12.7109375" bestFit="1" customWidth="1"/>
  </cols>
  <sheetData>
    <row r="2" spans="2:23">
      <c r="K2" s="11"/>
    </row>
    <row r="3" spans="2:23">
      <c r="B3" t="s">
        <v>0</v>
      </c>
      <c r="C3" s="1"/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  <row r="4" spans="2:23">
      <c r="B4" t="s">
        <v>1</v>
      </c>
      <c r="C4" s="1"/>
      <c r="D4">
        <v>479.65</v>
      </c>
      <c r="E4">
        <v>479.65</v>
      </c>
      <c r="F4">
        <v>479.65</v>
      </c>
      <c r="G4">
        <v>479.65</v>
      </c>
      <c r="H4">
        <v>479.65</v>
      </c>
      <c r="I4">
        <v>479.65</v>
      </c>
      <c r="J4">
        <v>479.65</v>
      </c>
      <c r="K4">
        <v>479.65</v>
      </c>
      <c r="L4">
        <v>479.65</v>
      </c>
    </row>
    <row r="5" spans="2:23">
      <c r="B5" t="s">
        <v>2</v>
      </c>
      <c r="C5" s="1" t="s">
        <v>3</v>
      </c>
      <c r="D5">
        <v>94.1</v>
      </c>
      <c r="E5">
        <v>140.9</v>
      </c>
      <c r="F5">
        <v>185.9</v>
      </c>
      <c r="G5">
        <v>247.9</v>
      </c>
      <c r="H5">
        <v>286</v>
      </c>
      <c r="I5">
        <v>346.7</v>
      </c>
      <c r="J5">
        <v>381.5</v>
      </c>
      <c r="K5">
        <v>425.8</v>
      </c>
      <c r="L5">
        <v>471</v>
      </c>
    </row>
    <row r="6" spans="2:23">
      <c r="B6" t="s">
        <v>0</v>
      </c>
      <c r="C6" s="1"/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</row>
    <row r="7" spans="2:23">
      <c r="B7" t="s">
        <v>1</v>
      </c>
      <c r="C7" s="1"/>
      <c r="D7">
        <v>479.65</v>
      </c>
      <c r="E7">
        <v>479.65</v>
      </c>
      <c r="F7">
        <v>479.65</v>
      </c>
      <c r="G7">
        <v>479.65</v>
      </c>
      <c r="H7">
        <v>479.65</v>
      </c>
      <c r="I7">
        <v>479.65</v>
      </c>
      <c r="J7">
        <v>479.65</v>
      </c>
      <c r="K7">
        <v>479.65</v>
      </c>
      <c r="L7">
        <v>479.65</v>
      </c>
    </row>
    <row r="8" spans="2:23">
      <c r="B8" t="s">
        <v>4</v>
      </c>
      <c r="C8" s="1" t="s">
        <v>3</v>
      </c>
      <c r="D8">
        <v>100.3</v>
      </c>
      <c r="E8">
        <v>145.80000000000001</v>
      </c>
      <c r="F8">
        <v>190.9</v>
      </c>
      <c r="G8">
        <v>254.8</v>
      </c>
      <c r="H8">
        <v>291</v>
      </c>
      <c r="I8">
        <v>351.7</v>
      </c>
      <c r="J8">
        <v>385.8</v>
      </c>
      <c r="K8">
        <v>431.2</v>
      </c>
      <c r="L8">
        <v>476.3</v>
      </c>
    </row>
    <row r="9" spans="2:23" s="2" customFormat="1">
      <c r="B9" s="4" t="s">
        <v>5</v>
      </c>
      <c r="C9" s="5" t="s">
        <v>6</v>
      </c>
      <c r="D9" s="4">
        <v>5.1244025214163544</v>
      </c>
      <c r="E9" s="4">
        <v>10.080051225552756</v>
      </c>
      <c r="F9" s="4">
        <v>14.870300767382233</v>
      </c>
      <c r="G9" s="4">
        <v>19.983964452344466</v>
      </c>
      <c r="H9" s="4">
        <v>24.915464128190223</v>
      </c>
      <c r="I9" s="4">
        <v>29.852588815320519</v>
      </c>
      <c r="J9" s="4">
        <v>35.099331500252198</v>
      </c>
      <c r="K9" s="4">
        <v>39.979784980014941</v>
      </c>
      <c r="L9" s="4">
        <v>45.140429048917767</v>
      </c>
    </row>
    <row r="10" spans="2:23" s="2" customFormat="1">
      <c r="B10" s="4" t="s">
        <v>39</v>
      </c>
      <c r="C10" s="5" t="s">
        <v>6</v>
      </c>
      <c r="D10" s="6">
        <v>4.873562501488965E-5</v>
      </c>
      <c r="E10" s="6">
        <v>4.8735625014889623E-5</v>
      </c>
      <c r="F10" s="6">
        <v>4.8735625014889623E-5</v>
      </c>
      <c r="G10" s="6">
        <v>4.8735625014889663E-5</v>
      </c>
      <c r="H10" s="6">
        <v>4.8735625014889623E-5</v>
      </c>
      <c r="I10" s="6">
        <v>4.8735625014889623E-5</v>
      </c>
      <c r="J10" s="6">
        <v>4.8735625014889596E-5</v>
      </c>
      <c r="K10" s="6">
        <v>4.8735625014889629E-5</v>
      </c>
      <c r="L10" s="6">
        <v>4.8735625014889629E-5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2:23">
      <c r="B11" t="s">
        <v>40</v>
      </c>
      <c r="C11" s="1" t="s">
        <v>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O11">
        <v>1.18415</v>
      </c>
    </row>
    <row r="12" spans="2:23">
      <c r="B12" s="7" t="s">
        <v>7</v>
      </c>
      <c r="C12" s="8" t="s">
        <v>6</v>
      </c>
      <c r="D12" s="7">
        <v>1.1844010140968566</v>
      </c>
      <c r="E12" s="7">
        <v>1.1848106982549822</v>
      </c>
      <c r="F12" s="7">
        <v>1.1846310588855258</v>
      </c>
      <c r="G12" s="7">
        <v>1.1835669755353309</v>
      </c>
      <c r="H12" s="7">
        <v>1.1825279142275942</v>
      </c>
      <c r="I12" s="7">
        <v>1.179584004261959</v>
      </c>
      <c r="J12" s="7">
        <v>1.1777800294798222</v>
      </c>
      <c r="K12" s="7">
        <v>1.1779416345727158</v>
      </c>
      <c r="L12" s="7">
        <v>1.1770043146078235</v>
      </c>
      <c r="N12" s="9"/>
      <c r="O12">
        <f>(O11-K12)/O11</f>
        <v>5.2428876639650391E-3</v>
      </c>
    </row>
    <row r="13" spans="2:23">
      <c r="B13" t="s">
        <v>41</v>
      </c>
      <c r="C13" s="1" t="s">
        <v>6</v>
      </c>
      <c r="D13">
        <v>1008.5248092682124</v>
      </c>
      <c r="E13">
        <v>1008.458609580994</v>
      </c>
      <c r="F13">
        <v>1008.4158289909362</v>
      </c>
      <c r="G13">
        <v>1008.4189835838656</v>
      </c>
      <c r="H13">
        <v>1008.4481828689577</v>
      </c>
      <c r="I13">
        <v>1008.4357193946839</v>
      </c>
      <c r="J13">
        <v>1008.395724961924</v>
      </c>
      <c r="K13">
        <v>1008.3919008572893</v>
      </c>
      <c r="L13">
        <v>1008.4331610517679</v>
      </c>
      <c r="M13" s="10" t="s">
        <v>42</v>
      </c>
      <c r="N13">
        <f>I12*I9*0.61/I16</f>
        <v>1161913.6413699053</v>
      </c>
    </row>
    <row r="14" spans="2:23">
      <c r="B14" t="s">
        <v>43</v>
      </c>
      <c r="C14" s="1" t="s">
        <v>6</v>
      </c>
      <c r="D14">
        <v>23.490378945873601</v>
      </c>
      <c r="E14">
        <v>23.368342391812064</v>
      </c>
      <c r="F14">
        <v>23.400724411010742</v>
      </c>
      <c r="G14">
        <v>23.668266892087615</v>
      </c>
      <c r="H14">
        <v>23.93767786026001</v>
      </c>
      <c r="I14">
        <v>24.675443792343117</v>
      </c>
      <c r="J14">
        <v>25.119786178233994</v>
      </c>
      <c r="K14">
        <v>25.077733615592649</v>
      </c>
      <c r="L14">
        <v>25.327443990167581</v>
      </c>
    </row>
    <row r="15" spans="2:23">
      <c r="B15" t="s">
        <v>44</v>
      </c>
      <c r="C15" s="1" t="s">
        <v>6</v>
      </c>
      <c r="D15">
        <v>20.083729900083199</v>
      </c>
      <c r="E15">
        <v>20.086506000343604</v>
      </c>
      <c r="F15">
        <v>20.067015659809101</v>
      </c>
      <c r="G15">
        <v>20.05392504498576</v>
      </c>
      <c r="H15">
        <v>20.047430360317207</v>
      </c>
      <c r="I15">
        <v>20.015233409404743</v>
      </c>
      <c r="J15">
        <v>20.00178416052529</v>
      </c>
      <c r="K15">
        <v>19.988890796679016</v>
      </c>
      <c r="L15">
        <v>19.97351392440072</v>
      </c>
    </row>
    <row r="16" spans="2:23">
      <c r="B16" t="s">
        <v>45</v>
      </c>
      <c r="C16" s="1" t="s">
        <v>6</v>
      </c>
      <c r="D16">
        <v>1.8439615157834947E-5</v>
      </c>
      <c r="E16">
        <v>1.8434733695672491E-5</v>
      </c>
      <c r="F16">
        <v>1.8436028976440436E-5</v>
      </c>
      <c r="G16">
        <v>1.8446730675683511E-5</v>
      </c>
      <c r="H16">
        <v>1.8457507114410397E-5</v>
      </c>
      <c r="I16">
        <v>1.8487017751693728E-5</v>
      </c>
      <c r="J16">
        <v>1.8504791447129365E-5</v>
      </c>
      <c r="K16">
        <v>1.8503109344623707E-5</v>
      </c>
      <c r="L16">
        <v>1.8513097759606702E-5</v>
      </c>
    </row>
    <row r="17" spans="2:12" s="2" customFormat="1">
      <c r="B17" s="4" t="s">
        <v>46</v>
      </c>
      <c r="C17" s="5" t="s">
        <v>6</v>
      </c>
      <c r="D17" s="4">
        <v>0.34859093259872825</v>
      </c>
      <c r="E17" s="4">
        <v>1.3684017548284495</v>
      </c>
      <c r="F17" s="4">
        <v>3.0279985485914107</v>
      </c>
      <c r="G17" s="4">
        <v>5.497096385485472</v>
      </c>
      <c r="H17" s="4">
        <v>8.5643009603324547</v>
      </c>
      <c r="I17" s="4">
        <v>12.425204295782551</v>
      </c>
      <c r="J17" s="4">
        <v>17.337032223553809</v>
      </c>
      <c r="K17" s="4">
        <v>22.855990247731366</v>
      </c>
      <c r="L17" s="4">
        <v>29.233499366100194</v>
      </c>
    </row>
    <row r="18" spans="2:12" s="2" customFormat="1">
      <c r="B18" s="4" t="s">
        <v>47</v>
      </c>
      <c r="C18" s="5" t="s">
        <v>6</v>
      </c>
      <c r="D18" s="4">
        <v>2.6327417003201282E-2</v>
      </c>
      <c r="E18" s="4">
        <v>2.963451241168635E-2</v>
      </c>
      <c r="F18" s="4">
        <v>3.2725923301397057E-2</v>
      </c>
      <c r="G18" s="4">
        <v>6.9220530300952279E-2</v>
      </c>
      <c r="H18" s="4">
        <v>0.11502299924431039</v>
      </c>
      <c r="I18" s="4">
        <v>-1.7207112512870558E-3</v>
      </c>
      <c r="J18" s="4">
        <v>-0.10199651763428852</v>
      </c>
      <c r="K18" s="4">
        <v>-0.10976003055669756</v>
      </c>
      <c r="L18" s="4">
        <v>-9.859618755144918E-2</v>
      </c>
    </row>
    <row r="19" spans="2:12" s="2" customFormat="1">
      <c r="B19" s="4" t="s">
        <v>48</v>
      </c>
      <c r="C19" s="5" t="s">
        <v>6</v>
      </c>
      <c r="D19" s="4">
        <v>-0.28369890717118695</v>
      </c>
      <c r="E19" s="4">
        <v>-1.2360232921342098</v>
      </c>
      <c r="F19" s="4">
        <v>-2.8609460977319134</v>
      </c>
      <c r="G19" s="4">
        <v>-5.2617288645127678</v>
      </c>
      <c r="H19" s="4">
        <v>-8.340220685240098</v>
      </c>
      <c r="I19" s="4">
        <v>-12.046185318922786</v>
      </c>
      <c r="J19" s="4">
        <v>-16.881510425057954</v>
      </c>
      <c r="K19" s="4">
        <v>-22.127749968246384</v>
      </c>
      <c r="L19" s="4">
        <v>-28.723564261812133</v>
      </c>
    </row>
    <row r="20" spans="2:12">
      <c r="B20" t="s">
        <v>49</v>
      </c>
      <c r="C20" s="1" t="s">
        <v>6</v>
      </c>
      <c r="D20">
        <v>1.1088606353673329E-2</v>
      </c>
      <c r="E20">
        <v>2.2270229538643434E-2</v>
      </c>
      <c r="F20">
        <v>2.9055303143391876E-2</v>
      </c>
      <c r="G20">
        <v>7.6643289858130709E-2</v>
      </c>
      <c r="H20">
        <v>0.13656445088771205</v>
      </c>
      <c r="I20">
        <v>-1.5683515868602289E-2</v>
      </c>
      <c r="J20">
        <v>-0.15443016103633109</v>
      </c>
      <c r="K20">
        <v>-0.15836753593171995</v>
      </c>
      <c r="L20">
        <v>-0.11943087697369492</v>
      </c>
    </row>
    <row r="21" spans="2:12">
      <c r="B21" t="s">
        <v>50</v>
      </c>
      <c r="C21" s="1" t="s">
        <v>6</v>
      </c>
      <c r="D21">
        <v>-0.44997189245312746</v>
      </c>
      <c r="E21">
        <v>-1.7232870056529734</v>
      </c>
      <c r="F21">
        <v>-3.7968677070497638</v>
      </c>
      <c r="G21">
        <v>-6.900920423461149</v>
      </c>
      <c r="H21">
        <v>-10.779734033509829</v>
      </c>
      <c r="I21">
        <v>-15.683811389892094</v>
      </c>
      <c r="J21">
        <v>-21.964738832325295</v>
      </c>
      <c r="K21">
        <v>-29.087762183297563</v>
      </c>
      <c r="L21">
        <v>-37.282953544707759</v>
      </c>
    </row>
    <row r="22" spans="2:12">
      <c r="B22" t="s">
        <v>51</v>
      </c>
      <c r="C22" s="1" t="s">
        <v>6</v>
      </c>
      <c r="D22">
        <v>8.0028566409597046E-3</v>
      </c>
      <c r="E22">
        <v>1.0434467619207025E-2</v>
      </c>
      <c r="F22">
        <v>1.4497256186488795E-2</v>
      </c>
      <c r="G22">
        <v>2.1158220062882916E-2</v>
      </c>
      <c r="H22">
        <v>1.3759586299361845E-2</v>
      </c>
      <c r="I22">
        <v>-2.3300596337884255E-2</v>
      </c>
      <c r="J22">
        <v>-3.9215374630533421E-2</v>
      </c>
      <c r="K22">
        <v>-2.755081548754354E-2</v>
      </c>
      <c r="L22">
        <v>-2.7753024250121973E-2</v>
      </c>
    </row>
    <row r="23" spans="2:12">
      <c r="B23" t="s">
        <v>52</v>
      </c>
      <c r="C23" s="1" t="s">
        <v>6</v>
      </c>
      <c r="D23">
        <v>0.34859091020457711</v>
      </c>
      <c r="E23">
        <v>1.3684017296209232</v>
      </c>
      <c r="F23">
        <v>3.0279985207537394</v>
      </c>
      <c r="G23">
        <v>5.4970963266047042</v>
      </c>
      <c r="H23">
        <v>8.564300862491125</v>
      </c>
      <c r="I23">
        <v>12.425204297241695</v>
      </c>
      <c r="J23">
        <v>17.337032310305489</v>
      </c>
      <c r="K23">
        <v>22.855990341084649</v>
      </c>
      <c r="L23">
        <v>29.233499449955243</v>
      </c>
    </row>
    <row r="24" spans="2:12">
      <c r="B24" t="s">
        <v>53</v>
      </c>
      <c r="C24" s="1" t="s">
        <v>6</v>
      </c>
      <c r="D24">
        <v>2.6327713513634908E-2</v>
      </c>
      <c r="E24">
        <v>2.9635676370266668E-2</v>
      </c>
      <c r="F24">
        <v>3.2728498908228577E-2</v>
      </c>
      <c r="G24">
        <v>6.9225206115278506E-2</v>
      </c>
      <c r="H24">
        <v>0.11503028401399645</v>
      </c>
      <c r="I24">
        <v>-1.7101424083029019E-3</v>
      </c>
      <c r="J24">
        <v>-0.1019817708045811</v>
      </c>
      <c r="K24">
        <v>-0.10974058931718923</v>
      </c>
      <c r="L24">
        <v>-9.8571321621059041E-2</v>
      </c>
    </row>
    <row r="25" spans="2:12">
      <c r="B25" t="s">
        <v>54</v>
      </c>
      <c r="C25" s="1" t="s">
        <v>6</v>
      </c>
      <c r="D25">
        <v>-0.28369890717118695</v>
      </c>
      <c r="E25">
        <v>-1.2360232921342098</v>
      </c>
      <c r="F25">
        <v>-2.8609460977319134</v>
      </c>
      <c r="G25">
        <v>-5.2617288645127678</v>
      </c>
      <c r="H25">
        <v>-8.340220685240098</v>
      </c>
      <c r="I25">
        <v>-12.046185318922786</v>
      </c>
      <c r="J25">
        <v>-16.881510425057954</v>
      </c>
      <c r="K25">
        <v>-22.127749968246384</v>
      </c>
      <c r="L25">
        <v>-28.723564261812133</v>
      </c>
    </row>
    <row r="26" spans="2:12" s="2" customFormat="1">
      <c r="B26" s="4" t="s">
        <v>55</v>
      </c>
      <c r="C26" s="5" t="s">
        <v>6</v>
      </c>
      <c r="D26" s="4">
        <v>-1.7608218631397152E-2</v>
      </c>
      <c r="E26" s="4">
        <v>-1.0031191881992134E-2</v>
      </c>
      <c r="F26" s="4">
        <v>-6.615531061852949E-3</v>
      </c>
      <c r="G26" s="4">
        <v>1.1936850954836799E-3</v>
      </c>
      <c r="H26" s="4">
        <v>1.1190610523124653E-2</v>
      </c>
      <c r="I26" s="4">
        <v>-1.3806120038755009E-2</v>
      </c>
      <c r="J26" s="4">
        <v>-4.3251347715699918E-2</v>
      </c>
      <c r="K26" s="4">
        <v>-3.8725551609199819E-2</v>
      </c>
      <c r="L26" s="4">
        <v>-1.1956423633804848E-2</v>
      </c>
    </row>
    <row r="27" spans="2:12" s="2" customFormat="1">
      <c r="B27" s="4" t="s">
        <v>56</v>
      </c>
      <c r="C27" s="5" t="s">
        <v>6</v>
      </c>
      <c r="D27" s="4">
        <v>-7.0007790898038727E-2</v>
      </c>
      <c r="E27" s="4">
        <v>-0.23172910142255085</v>
      </c>
      <c r="F27" s="4">
        <v>-0.49634929471245609</v>
      </c>
      <c r="G27" s="4">
        <v>-0.90908536226696202</v>
      </c>
      <c r="H27" s="4">
        <v>-1.4446459772292768</v>
      </c>
      <c r="I27" s="4">
        <v>-2.1403387192333265</v>
      </c>
      <c r="J27" s="4">
        <v>-3.0673737454422216</v>
      </c>
      <c r="K27" s="4">
        <v>-4.1747328462117252</v>
      </c>
      <c r="L27" s="4">
        <v>-5.4184392458306192</v>
      </c>
    </row>
    <row r="28" spans="2:12" s="2" customFormat="1">
      <c r="B28" s="4" t="s">
        <v>57</v>
      </c>
      <c r="C28" s="5" t="s">
        <v>6</v>
      </c>
      <c r="D28" s="4">
        <v>8.0028566409597046E-3</v>
      </c>
      <c r="E28" s="4">
        <v>1.0434467619207025E-2</v>
      </c>
      <c r="F28" s="4">
        <v>1.4497256186488795E-2</v>
      </c>
      <c r="G28" s="4">
        <v>2.1158220062882916E-2</v>
      </c>
      <c r="H28" s="4">
        <v>1.3759586299361845E-2</v>
      </c>
      <c r="I28" s="4">
        <v>-2.3300596337884255E-2</v>
      </c>
      <c r="J28" s="4">
        <v>-3.9215374630533421E-2</v>
      </c>
      <c r="K28" s="4">
        <v>-2.755081548754354E-2</v>
      </c>
      <c r="L28" s="4">
        <v>-2.7753024250121973E-2</v>
      </c>
    </row>
  </sheetData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1A691B44835E418BF28C39547FC6C0" ma:contentTypeVersion="15" ma:contentTypeDescription="Create a new document." ma:contentTypeScope="" ma:versionID="bf08d3f59cd6f6c8bf680719d6bf4bdd">
  <xsd:schema xmlns:xsd="http://www.w3.org/2001/XMLSchema" xmlns:xs="http://www.w3.org/2001/XMLSchema" xmlns:p="http://schemas.microsoft.com/office/2006/metadata/properties" xmlns:ns2="7fef7094-3417-4099-bffa-e44b3b19e9d9" xmlns:ns3="7370b4c9-1095-4713-91f1-63b0d6f23b45" targetNamespace="http://schemas.microsoft.com/office/2006/metadata/properties" ma:root="true" ma:fieldsID="51cca7dd25d9180504c3d15b2c420de8" ns2:_="" ns3:_="">
    <xsd:import namespace="7fef7094-3417-4099-bffa-e44b3b19e9d9"/>
    <xsd:import namespace="7370b4c9-1095-4713-91f1-63b0d6f23b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ef7094-3417-4099-bffa-e44b3b19e9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16aa3f76-4d61-4dcc-b0f8-f387d765d2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70b4c9-1095-4713-91f1-63b0d6f23b45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5c342d4-e011-42d0-804c-25219191efa5}" ma:internalName="TaxCatchAll" ma:showField="CatchAllData" ma:web="7370b4c9-1095-4713-91f1-63b0d6f23b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370b4c9-1095-4713-91f1-63b0d6f23b45" xsi:nil="true"/>
    <lcf76f155ced4ddcb4097134ff3c332f xmlns="7fef7094-3417-4099-bffa-e44b3b19e9d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F38D2D-93AF-45F9-BBF0-686AFA24A5AF}"/>
</file>

<file path=customXml/itemProps2.xml><?xml version="1.0" encoding="utf-8"?>
<ds:datastoreItem xmlns:ds="http://schemas.openxmlformats.org/officeDocument/2006/customXml" ds:itemID="{56AB8A2F-33DD-48E2-9CBA-A20435B94A95}"/>
</file>

<file path=customXml/itemProps3.xml><?xml version="1.0" encoding="utf-8"?>
<ds:datastoreItem xmlns:ds="http://schemas.openxmlformats.org/officeDocument/2006/customXml" ds:itemID="{D2D26D4C-70FB-4639-BE7A-4B88F73A95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Coventry University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F1DIABLO</dc:creator>
  <cp:keywords/>
  <dc:description/>
  <cp:lastModifiedBy>Jia Foo</cp:lastModifiedBy>
  <cp:revision/>
  <dcterms:created xsi:type="dcterms:W3CDTF">2020-06-30T09:54:15Z</dcterms:created>
  <dcterms:modified xsi:type="dcterms:W3CDTF">2025-03-31T19:05:28Z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Index=0;PlName=Mean Values;FileName=C:\Users\F1DIABLO\Documents\Master Excel\Run_Data.xls;StartingCell=Sheet1!$B$21">
    <vt:lpwstr>21 17 1 1 1 1 1 14 </vt:lpwstr>
  </property>
  <property fmtid="{D5CDD505-2E9C-101B-9397-08002B2CF9AE}" pid="3" name="PlIndex=0;PlName=Mean Values;FileName=C:\Users\F1DIABLO\Documents\Master Excel\Run_Data.xls;StartingCell=Sheet1!$B$2_info1">
    <vt:lpwstr>InLap=false;OutLap=false;ShortLap=false;ShortLapTime=50000000;PlacementType=BetweenEvents;OutingsCount=2;LapPerformance=Time;StartEvent=Begin Sample;EndEvent=End Sample;Orientation=Horizontal;OutingsHeadings=false;ChannelsHeadings=true;RepetativeHeadings=</vt:lpwstr>
  </property>
  <property fmtid="{D5CDD505-2E9C-101B-9397-08002B2CF9AE}" pid="4" name="PlIndex=0;PlName=Mean Values;FileName=C:\Users\F1DIABLO\Documents\Master Excel\Run_Data.xls;StartingCell=Sheet1!$B$2_info2">
    <vt:lpwstr>true;ChName=[0]Air Density;TellTale=mean;ChName=[14]Drag Force;TellTale=mean;ChName=[14]Side Force;TellTale=mean;ChName=[14]Lift Force;TellTale=mean;ChName=[15]Resolved Moment Roll;TellTale=mean;ChName=[15]Resolved Moment Pitch;TellTale=mean;ChName=[15]Re</vt:lpwstr>
  </property>
  <property fmtid="{D5CDD505-2E9C-101B-9397-08002B2CF9AE}" pid="5" name="PlIndex=0;PlName=Mean Values;FileName=C:\Users\F1DIABLO\Documents\Master Excel\Run_Data.xls;StartingCell=Sheet1!$B$2_info3">
    <vt:lpwstr>solved Moment Yaw;TellTale=mean;ChName=[8]Fan Speed;TellTale=mean;ChName=[9]Pressure Ambient Tunnel Hall;TellTale=mean;ChName=[4]Temperature Ambient Tunnel Hall;TellTale=mean;ChName=[4]Temperature Tunnel Air Temp;TellTale=mean;ChName=[3]Wind Speed Syn;Tel</vt:lpwstr>
  </property>
  <property fmtid="{D5CDD505-2E9C-101B-9397-08002B2CF9AE}" pid="6" name="PlIndex=0;PlName=Mean Values;FileName=C:\Users\F1DIABLO\Documents\Master Excel\Run_Data.xls;StartingCell=Sheet1!$B$2_info4">
    <vt:lpwstr>lTale=mean;ChName=[7]Pitch Angle Actual;TellTale=mean;ChName=[7]Yaw Angle Actual;TellTale=mean;</vt:lpwstr>
  </property>
  <property fmtid="{D5CDD505-2E9C-101B-9397-08002B2CF9AE}" pid="7" name="PlIndex=1;PlName=Pressure Scan Data;FileName=C:\Users\F1DIABLO\Documents\Master Excel\Run_Data.xls;StartingCell=Sheet2!$B$21">
    <vt:lpwstr>23 17 1 1 1 1 1 14 </vt:lpwstr>
  </property>
  <property fmtid="{D5CDD505-2E9C-101B-9397-08002B2CF9AE}" pid="8" name="PlIndex=1;PlName=Pressure Scan Data;FileName=C:\Users\F1DIABLO\Documents\Master Excel\Run_Data.xls;StartingCell=Sheet2!$B$2_info1">
    <vt:lpwstr>InLap=false;OutLap=false;ShortLap=false;ShortLapTime=50000000;PlacementType=BetweenEvents;OutingsCount=2;LapPerformance=Time;StartEvent=Begin Sample;EndEvent=End Sample;Orientation=Horizontal;OutingsHeadings=false;ChannelsHeadings=true;RepetativeHeadings=</vt:lpwstr>
  </property>
  <property fmtid="{D5CDD505-2E9C-101B-9397-08002B2CF9AE}" pid="9" name="PlIndex=1;PlName=Pressure Scan Data;FileName=C:\Users\F1DIABLO\Documents\Master Excel\Run_Data.xls;StartingCell=Sheet2!$B$2_info2">
    <vt:lpwstr>true;ChName=[9]ScanivalveDSA.Pressure 01;TellTale=mean;ChName=[9]ScanivalveDSA.Pressure 02;TellTale=mean;ChName=[9]ScanivalveDSA.Pressure 03;TellTale=mean;ChName=[9]ScanivalveDSA.Pressure 04;TellTale=mean;ChName=[9]ScanivalveDSA.Pressure 05;TellTale=mean;</vt:lpwstr>
  </property>
  <property fmtid="{D5CDD505-2E9C-101B-9397-08002B2CF9AE}" pid="10" name="PlIndex=1;PlName=Pressure Scan Data;FileName=C:\Users\F1DIABLO\Documents\Master Excel\Run_Data.xls;StartingCell=Sheet2!$B$2_info3">
    <vt:lpwstr>ChName=[9]ScanivalveDSA.Pressure 06;TellTale=mean;ChName=[9]ScanivalveDSA.Pressure 07;TellTale=mean;ChName=[9]ScanivalveDSA.Pressure 08;TellTale=mean;ChName=[9]ScanivalveDSA.Pressure 09;TellTale=mean;ChName=[9]ScanivalveDSA.Pressure 10;TellTale=mean;ChNam</vt:lpwstr>
  </property>
  <property fmtid="{D5CDD505-2E9C-101B-9397-08002B2CF9AE}" pid="11" name="PlIndex=1;PlName=Pressure Scan Data;FileName=C:\Users\F1DIABLO\Documents\Master Excel\Run_Data.xls;StartingCell=Sheet2!$B$2_info4">
    <vt:lpwstr>e=[9]ScanivalveDSA.Pressure 11;TellTale=mean;ChName=[9]ScanivalveDSA.Pressure 12;TellTale=mean;ChName=[9]ScanivalveDSA.Pressure 13;TellTale=mean;ChName=[9]ScanivalveDSA.Pressure 14;TellTale=mean;ChName=[9]ScanivalveDSA.Pressure 15;TellTale=mean;ChName=[9]</vt:lpwstr>
  </property>
  <property fmtid="{D5CDD505-2E9C-101B-9397-08002B2CF9AE}" pid="12" name="PlIndex=1;PlName=Pressure Scan Data;FileName=C:\Users\F1DIABLO\Documents\Master Excel\Run_Data.xls;StartingCell=Sheet2!$B$2_info5">
    <vt:lpwstr>ScanivalveDSA.Pressure 16;TellTale=mean;</vt:lpwstr>
  </property>
  <property fmtid="{D5CDD505-2E9C-101B-9397-08002B2CF9AE}" pid="13" name="PlIndex=0;PlName=Mean Values;FileName=C:\Users\F1DIABLO\Documents\Master Excel\Run_Data.xlsm;StartingCell=Sheet1!$B$21">
    <vt:lpwstr>27 11 1 1 9 </vt:lpwstr>
  </property>
  <property fmtid="{D5CDD505-2E9C-101B-9397-08002B2CF9AE}" pid="14" name="PlIndex=0;PlName=Mean Values;FileName=C:\Users\F1DIABLO\Documents\Master Excel\Run_Data.xlsm;StartingCell=Sheet1!$B$2_info1">
    <vt:lpwstr>InLap=false;OutLap=false;ShortLap=false;ShortLapTime=50000000;PlacementType=BetweenEvents;OutingsCount=1;LapPerformance=Time;StartEvent=Begin Sample;EndEvent=End Sample;Orientation=Horizontal;OutingsHeadings=false;ChannelsHeadings=true;RepetativeHeadings=</vt:lpwstr>
  </property>
  <property fmtid="{D5CDD505-2E9C-101B-9397-08002B2CF9AE}" pid="15" name="PlIndex=0;PlName=Mean Values;FileName=C:\Users\F1DIABLO\Documents\Master Excel\Run_Data.xlsm;StartingCell=Sheet1!$B$2_info2">
    <vt:lpwstr>true;ChName=[3]Wind Speed Syn;TellTale=mean;ChName=[7]Yaw Angle Actual;TellTale=mean;ChName=[0]Pitch Actuator Actual;TellTale=mean;ChName=[0]Air Density;TellTale=mean;ChName=[9]Pressure Ambient Tunnel Hall;TellTale=mean;ChName=[4]Temperature Tunnel Air Te</vt:lpwstr>
  </property>
  <property fmtid="{D5CDD505-2E9C-101B-9397-08002B2CF9AE}" pid="16" name="PlIndex=0;PlName=Mean Values;FileName=C:\Users\F1DIABLO\Documents\Master Excel\Run_Data.xlsm;StartingCell=Sheet1!$B$2_info3">
    <vt:lpwstr>mp;TellTale=mean;ChName=[4]Temperature Ambient Tunnel Hall;TellTale=mean;ChName=[0]Dynamic Viscosity;TellTale=mean;ChName=[14]Drag Force;TellTale=mean;ChName=[14]Side Force;TellTale=mean;ChName=[14]Lift Force;TellTale=mean;ChName=[15]Roll Moment;TellTale=</vt:lpwstr>
  </property>
  <property fmtid="{D5CDD505-2E9C-101B-9397-08002B2CF9AE}" pid="17" name="PlIndex=0;PlName=Mean Values;FileName=C:\Users\F1DIABLO\Documents\Master Excel\Run_Data.xlsm;StartingCell=Sheet1!$B$2_info4">
    <vt:lpwstr>mean;ChName=[15]Pitch Moment;TellTale=mean;ChName=[15]Yaw Moment;TellTale=mean;ChName=[14]Resolved Force X;TellTale=mean;ChName=[14]Resolved Force Y;TellTale=mean;ChName=[14]Resolved Force Z;TellTale=mean;ChName=[15]Resolved Moment Roll;TellTale=mean;ChNa</vt:lpwstr>
  </property>
  <property fmtid="{D5CDD505-2E9C-101B-9397-08002B2CF9AE}" pid="18" name="PlIndex=0;PlName=Mean Values;FileName=C:\Users\F1DIABLO\Documents\Master Excel\Run_Data.xlsm;StartingCell=Sheet1!$B$2_info5">
    <vt:lpwstr>me=[15]Resolved Moment Pitch;TellTale=mean;ChName=[15]Resolved Moment Yaw;TellTale=mean;</vt:lpwstr>
  </property>
  <property fmtid="{D5CDD505-2E9C-101B-9397-08002B2CF9AE}" pid="19" name="PlIndex=1;PlName=Pressure Scan Data;FileName=C:\Users\F1DIABLO\Documents\Master Excel\Run_Data.xlsm;StartingCell=Sheet2!$B$21">
    <vt:lpwstr>39 11 1 1 9 </vt:lpwstr>
  </property>
  <property fmtid="{D5CDD505-2E9C-101B-9397-08002B2CF9AE}" pid="20" name="PlIndex=1;PlName=Pressure Scan Data;FileName=C:\Users\F1DIABLO\Documents\Master Excel\Run_Data.xlsm;StartingCell=Sheet2!$B$2_info1">
    <vt:lpwstr>InLap=false;OutLap=false;ShortLap=false;ShortLapTime=50000000;PlacementType=BetweenEvents;OutingsCount=1;LapPerformance=Time;StartEvent=Begin Sample;EndEvent=End Sample;Orientation=Horizontal;OutingsHeadings=false;ChannelsHeadings=true;RepetativeHeadings=</vt:lpwstr>
  </property>
  <property fmtid="{D5CDD505-2E9C-101B-9397-08002B2CF9AE}" pid="21" name="PlIndex=1;PlName=Pressure Scan Data;FileName=C:\Users\F1DIABLO\Documents\Master Excel\Run_Data.xlsm;StartingCell=Sheet2!$B$2_info2">
    <vt:lpwstr>true;ChName=[3]Wind Speed Syn;TellTale=mean;ChName=[0]Air Density;TellTale=mean;ChName=[9]ERAD.1.Pressure 01;TellTale=mean;ChName=[9]ERAD.1.Pressure 02;TellTale=mean;ChName=[9]ERAD.1.Pressure 03;TellTale=mean;ChName=[9]ERAD.1.Pressure 04;TellTale=mean;ChN</vt:lpwstr>
  </property>
  <property fmtid="{D5CDD505-2E9C-101B-9397-08002B2CF9AE}" pid="22" name="PlIndex=1;PlName=Pressure Scan Data;FileName=C:\Users\F1DIABLO\Documents\Master Excel\Run_Data.xlsm;StartingCell=Sheet2!$B$2_info3">
    <vt:lpwstr>ame=[9]ERAD.1.Pressure 05;TellTale=mean;ChName=[9]ERAD.1.Pressure 06;TellTale=mean;ChName=[9]ERAD.1.Pressure 07;TellTale=mean;ChName=[9]ERAD.1.Pressure 08;TellTale=mean;ChName=[9]ERAD.1.Pressure 09;TellTale=mean;ChName=[9]ERAD.1.Pressure 10;TellTale=mean;</vt:lpwstr>
  </property>
  <property fmtid="{D5CDD505-2E9C-101B-9397-08002B2CF9AE}" pid="23" name="PlIndex=1;PlName=Pressure Scan Data;FileName=C:\Users\F1DIABLO\Documents\Master Excel\Run_Data.xlsm;StartingCell=Sheet2!$B$2_info4">
    <vt:lpwstr>ChName=[9]ERAD.1.Pressure 11;TellTale=mean;ChName=[9]ERAD.1.Pressure 12;TellTale=mean;ChName=[9]ERAD.1.Pressure 13;TellTale=mean;ChName=[9]ERAD.1.Pressure 14;TellTale=mean;ChName=[9]ERAD.1.Pressure 15;TellTale=mean;ChName=[9]ERAD.1.Pressure 16;TellTale=me</vt:lpwstr>
  </property>
  <property fmtid="{D5CDD505-2E9C-101B-9397-08002B2CF9AE}" pid="24" name="PlIndex=1;PlName=Pressure Scan Data;FileName=C:\Users\F1DIABLO\Documents\Master Excel\Run_Data.xlsm;StartingCell=Sheet2!$B$2_info5">
    <vt:lpwstr>an;ChName=[9]ERAD.1.Pressure 17;TellTale=mean;ChName=[9]ERAD.1.Pressure 18;TellTale=mean;ChName=[9]ERAD.1.Pressure 19;TellTale=mean;ChName=[9]ERAD.1.Pressure 20;TellTale=mean;ChName=[9]ERAD.1.Pressure 21;TellTale=mean;ChName=[9]ERAD.1.Pressure 22;TellTale</vt:lpwstr>
  </property>
  <property fmtid="{D5CDD505-2E9C-101B-9397-08002B2CF9AE}" pid="25" name="PlIndex=1;PlName=Pressure Scan Data;FileName=C:\Users\F1DIABLO\Documents\Master Excel\Run_Data.xlsm;StartingCell=Sheet2!$B$2_info6">
    <vt:lpwstr>=mean;ChName=[9]ERAD.1.Pressure 23;TellTale=mean;ChName=[9]ERAD.1.Pressure 24;TellTale=mean;ChName=[9]ERAD.1.Pressure 25;TellTale=mean;ChName=[9]ERAD.1.Pressure 26;TellTale=mean;ChName=[9]ERAD.1.Pressure 27;TellTale=mean;ChName=[9]ERAD.1.Pressure 28;TellT</vt:lpwstr>
  </property>
  <property fmtid="{D5CDD505-2E9C-101B-9397-08002B2CF9AE}" pid="26" name="PlIndex=1;PlName=Pressure Scan Data;FileName=C:\Users\F1DIABLO\Documents\Master Excel\Run_Data.xlsm;StartingCell=Sheet2!$B$2_info7">
    <vt:lpwstr>ale=mean;ChName=[9]ERAD.1.Pressure 29;TellTale=mean;ChName=[9]ERAD.1.Pressure 30;TellTale=mean;</vt:lpwstr>
  </property>
  <property fmtid="{D5CDD505-2E9C-101B-9397-08002B2CF9AE}" pid="27" name="ContentTypeId">
    <vt:lpwstr>0x010100621A691B44835E418BF28C39547FC6C0</vt:lpwstr>
  </property>
</Properties>
</file>