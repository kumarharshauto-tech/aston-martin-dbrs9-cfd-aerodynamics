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coventryac-my.sharepoint.com/personal/tsaic6_uni_coventry_ac_uk/Documents/7194 MAA Ground Vehicle Aerodynamics/"/>
    </mc:Choice>
  </mc:AlternateContent>
  <xr:revisionPtr revIDLastSave="417" documentId="8_{78C7BD8A-17DA-4B60-866A-0459D6721577}" xr6:coauthVersionLast="47" xr6:coauthVersionMax="47" xr10:uidLastSave="{F20BFFE8-691F-4522-ABCB-78C317483A6E}"/>
  <bookViews>
    <workbookView xWindow="-108" yWindow="-108" windowWidth="23256" windowHeight="12456" activeTab="2" xr2:uid="{00000000-000D-0000-FFFF-FFFF00000000}"/>
  </bookViews>
  <sheets>
    <sheet name="Configuration 1 " sheetId="1" r:id="rId1"/>
    <sheet name="Configuration 2 " sheetId="5" r:id="rId2"/>
    <sheet name="Configuration 3" sheetId="4" r:id="rId3"/>
    <sheet name="Configuration 4" sheetId="6" r:id="rId4"/>
    <sheet name="Sheet1" sheetId="7" r:id="rId5"/>
    <sheet name="Sheet 5 " sheetId="2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1" l="1"/>
  <c r="D32" i="4"/>
  <c r="D38" i="1"/>
  <c r="D19" i="7"/>
  <c r="E19" i="7"/>
  <c r="F19" i="7"/>
  <c r="G19" i="7"/>
  <c r="H19" i="7"/>
  <c r="I19" i="7"/>
  <c r="J19" i="7"/>
  <c r="K19" i="7"/>
  <c r="C19" i="7"/>
  <c r="E38" i="6"/>
  <c r="F38" i="6"/>
  <c r="G38" i="6"/>
  <c r="H38" i="6"/>
  <c r="I38" i="6"/>
  <c r="J38" i="6"/>
  <c r="K38" i="6"/>
  <c r="L38" i="6"/>
  <c r="E37" i="6"/>
  <c r="F37" i="6"/>
  <c r="G37" i="6"/>
  <c r="H37" i="6"/>
  <c r="I37" i="6"/>
  <c r="J37" i="6"/>
  <c r="K37" i="6"/>
  <c r="L37" i="6"/>
  <c r="E36" i="6"/>
  <c r="F36" i="6"/>
  <c r="G36" i="6"/>
  <c r="H36" i="6"/>
  <c r="I36" i="6"/>
  <c r="J36" i="6"/>
  <c r="K36" i="6"/>
  <c r="L36" i="6"/>
  <c r="D38" i="6"/>
  <c r="D37" i="6"/>
  <c r="D36" i="6"/>
  <c r="E38" i="4"/>
  <c r="F38" i="4"/>
  <c r="G38" i="4"/>
  <c r="H38" i="4"/>
  <c r="I38" i="4"/>
  <c r="J38" i="4"/>
  <c r="K38" i="4"/>
  <c r="L38" i="4"/>
  <c r="E37" i="4"/>
  <c r="F37" i="4"/>
  <c r="G37" i="4"/>
  <c r="H37" i="4"/>
  <c r="I37" i="4"/>
  <c r="J37" i="4"/>
  <c r="K37" i="4"/>
  <c r="L37" i="4"/>
  <c r="E36" i="4"/>
  <c r="F36" i="4"/>
  <c r="G36" i="4"/>
  <c r="H36" i="4"/>
  <c r="I36" i="4"/>
  <c r="J36" i="4"/>
  <c r="K36" i="4"/>
  <c r="L36" i="4"/>
  <c r="D38" i="4"/>
  <c r="D37" i="4"/>
  <c r="D36" i="4"/>
  <c r="E38" i="5"/>
  <c r="F38" i="5"/>
  <c r="G38" i="5"/>
  <c r="H38" i="5"/>
  <c r="I38" i="5"/>
  <c r="J38" i="5"/>
  <c r="K38" i="5"/>
  <c r="L38" i="5"/>
  <c r="E37" i="5"/>
  <c r="F37" i="5"/>
  <c r="G37" i="5"/>
  <c r="H37" i="5"/>
  <c r="I37" i="5"/>
  <c r="J37" i="5"/>
  <c r="K37" i="5"/>
  <c r="L37" i="5"/>
  <c r="E36" i="5"/>
  <c r="F36" i="5"/>
  <c r="G36" i="5"/>
  <c r="H36" i="5"/>
  <c r="I36" i="5"/>
  <c r="J36" i="5"/>
  <c r="K36" i="5"/>
  <c r="L36" i="5"/>
  <c r="D36" i="5"/>
  <c r="D38" i="5"/>
  <c r="D37" i="5"/>
  <c r="F38" i="1"/>
  <c r="G38" i="1"/>
  <c r="H38" i="1"/>
  <c r="I38" i="1"/>
  <c r="J38" i="1"/>
  <c r="K38" i="1"/>
  <c r="L38" i="1"/>
  <c r="E37" i="1"/>
  <c r="F37" i="1"/>
  <c r="G37" i="1"/>
  <c r="H37" i="1"/>
  <c r="I37" i="1"/>
  <c r="J37" i="1"/>
  <c r="K37" i="1"/>
  <c r="L37" i="1"/>
  <c r="D37" i="1"/>
  <c r="E36" i="1"/>
  <c r="F36" i="1"/>
  <c r="G36" i="1"/>
  <c r="H36" i="1"/>
  <c r="I36" i="1"/>
  <c r="J36" i="1"/>
  <c r="K36" i="1"/>
  <c r="L36" i="1"/>
  <c r="D36" i="1"/>
  <c r="N25" i="1"/>
  <c r="N21" i="1"/>
  <c r="O19" i="1"/>
  <c r="N22" i="1"/>
  <c r="N19" i="1"/>
  <c r="D62" i="2"/>
  <c r="D59" i="2" a="1"/>
  <c r="D59" i="2"/>
  <c r="D58" i="2" a="1"/>
  <c r="D58" i="2"/>
  <c r="D61" i="2"/>
  <c r="D57" i="2" a="1"/>
  <c r="D57" i="2"/>
  <c r="D56" i="2"/>
  <c r="L33" i="6"/>
  <c r="K33" i="6"/>
  <c r="J33" i="6"/>
  <c r="I33" i="6"/>
  <c r="H33" i="6"/>
  <c r="G33" i="6"/>
  <c r="F33" i="6"/>
  <c r="E33" i="6"/>
  <c r="D33" i="6"/>
  <c r="L32" i="4"/>
  <c r="K32" i="4"/>
  <c r="J32" i="4"/>
  <c r="I32" i="4"/>
  <c r="H32" i="4"/>
  <c r="G32" i="4"/>
  <c r="F32" i="4"/>
  <c r="E32" i="4"/>
  <c r="L33" i="5"/>
  <c r="K33" i="5"/>
  <c r="I33" i="5"/>
  <c r="J33" i="5"/>
  <c r="H33" i="5"/>
  <c r="G33" i="5"/>
  <c r="F33" i="5"/>
  <c r="E33" i="5"/>
  <c r="D33" i="5"/>
  <c r="L31" i="1"/>
  <c r="L56" i="2"/>
  <c r="L61" i="2"/>
  <c r="K31" i="1"/>
  <c r="K56" i="2"/>
  <c r="K61" i="2"/>
  <c r="J31" i="1"/>
  <c r="J56" i="2"/>
  <c r="J61" i="2"/>
  <c r="I31" i="1"/>
  <c r="I56" i="2"/>
  <c r="I61" i="2"/>
  <c r="H31" i="1"/>
  <c r="H56" i="2"/>
  <c r="H61" i="2"/>
  <c r="G31" i="1"/>
  <c r="G56" i="2"/>
  <c r="G61" i="2"/>
  <c r="F31" i="1"/>
  <c r="F56" i="2"/>
  <c r="F61" i="2"/>
  <c r="E31" i="1"/>
  <c r="E56" i="2"/>
  <c r="E61" i="2"/>
  <c r="N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<sst xmlns="http://schemas.openxmlformats.org/spreadsheetml/2006/main" count="350" uniqueCount="90">
  <si>
    <t>Data Section</t>
  </si>
  <si>
    <t>Data Section Time (sec)</t>
  </si>
  <si>
    <t>Begin Sample</t>
  </si>
  <si>
    <t>Time s</t>
  </si>
  <si>
    <t>End Sample</t>
  </si>
  <si>
    <t>Wind Speed Syn (m/s)</t>
  </si>
  <si>
    <t>mean</t>
  </si>
  <si>
    <t>Yaw Angle Actual (°)</t>
  </si>
  <si>
    <t>Pitch Actuator Actual (user defined)</t>
  </si>
  <si>
    <t>Air Density (kg/m3)</t>
  </si>
  <si>
    <t>Pressure Ambient Tunnel Hall (mbar)</t>
  </si>
  <si>
    <t>Temperature Tunnel Air Temp (°C)</t>
  </si>
  <si>
    <t>Temperature Ambient Tunnel Hall (°C)</t>
  </si>
  <si>
    <t>Dynamic Viscosity (user defined)</t>
  </si>
  <si>
    <t>=D17/(0.5)*(D12)*(D9)*(D9))*0.042</t>
  </si>
  <si>
    <t>Drag Force (N)</t>
  </si>
  <si>
    <t>Side Force (N)</t>
  </si>
  <si>
    <t>Lift Force (N)</t>
  </si>
  <si>
    <t>Roll Moment (Nm)</t>
  </si>
  <si>
    <t>Pitch Moment (Nm)</t>
  </si>
  <si>
    <t>Yaw Moment (Nm)</t>
  </si>
  <si>
    <t>Resolved Force X (N)</t>
  </si>
  <si>
    <t>Resolved Force Y (N)</t>
  </si>
  <si>
    <t>Resolved Force Z (N)</t>
  </si>
  <si>
    <t>Resolved Moment Roll (Nm)</t>
  </si>
  <si>
    <t>Resolved Moment Pitch (Nm)</t>
  </si>
  <si>
    <t>Resolved Moment Yaw (Nm)</t>
  </si>
  <si>
    <t xml:space="preserve">Reynolds Number 1 </t>
  </si>
  <si>
    <t xml:space="preserve">Drag Force (N) 1 </t>
  </si>
  <si>
    <t>D</t>
  </si>
  <si>
    <t>Pitch Moment Coefficient</t>
  </si>
  <si>
    <t>Lift Force Coefficient</t>
  </si>
  <si>
    <t>Drag force Coefficient</t>
  </si>
  <si>
    <t>Drag force after subtracting strut</t>
  </si>
  <si>
    <t> </t>
  </si>
  <si>
    <t>Drag Force Coefficient 1</t>
  </si>
  <si>
    <t>Re</t>
    <phoneticPr fontId="0" type="noConversion"/>
  </si>
  <si>
    <t>Reynolds Number  2</t>
  </si>
  <si>
    <t>Drag Force (N) 2</t>
  </si>
  <si>
    <t>Drag Force Coefficient 2</t>
  </si>
  <si>
    <t>Reynolds Number  3</t>
  </si>
  <si>
    <t xml:space="preserve">Drag Force (N) 3 </t>
  </si>
  <si>
    <t>Drag Force Coefficient 3</t>
  </si>
  <si>
    <t>Reynolds Number 4</t>
  </si>
  <si>
    <t>Drag Force (N)   4</t>
  </si>
  <si>
    <t>Drag Force Coefficient 4</t>
  </si>
  <si>
    <t>Configuration 1</t>
  </si>
  <si>
    <t>Configuration 2</t>
  </si>
  <si>
    <t>Configuration 3</t>
  </si>
  <si>
    <t>Configuration 4</t>
  </si>
  <si>
    <t>Reynolds Number 1</t>
  </si>
  <si>
    <t>Reynolds Number 2</t>
  </si>
  <si>
    <t>Reynolds Number 3</t>
  </si>
  <si>
    <t>ERAD.1.Pressure 01 (Pa)</t>
  </si>
  <si>
    <t>ERAD.1.Pressure 02 (Pa)</t>
  </si>
  <si>
    <t>ERAD.1.Pressure 03 (Pa)</t>
  </si>
  <si>
    <t>ERAD.1.Pressure 04 (Pa)</t>
  </si>
  <si>
    <t>ERAD.1.Pressure 05 (Pa)</t>
  </si>
  <si>
    <t>ERAD.1.Pressure 06 (Pa)</t>
  </si>
  <si>
    <t>ERAD.1.Pressure 07 (Pa)</t>
  </si>
  <si>
    <t>ERAD.1.Pressure 08 (Pa)</t>
  </si>
  <si>
    <t>ERAD.1.Pressure 09 (Pa)</t>
  </si>
  <si>
    <t>ERAD.1.Pressure 10 (Pa)</t>
  </si>
  <si>
    <t>ERAD.1.Pressure 11 (Pa)</t>
  </si>
  <si>
    <t>ERAD.1.Pressure 12 (Pa)</t>
  </si>
  <si>
    <t>ERAD.1.Pressure 13 (Pa)</t>
  </si>
  <si>
    <t>ERAD.1.Pressure 14 (Pa)</t>
  </si>
  <si>
    <t>ERAD.1.Pressure 15 (Pa)</t>
  </si>
  <si>
    <t>ERAD.1.Pressure 16 (Pa)</t>
  </si>
  <si>
    <t>ERAD.1.Pressure 17 (Pa)</t>
  </si>
  <si>
    <t>ERAD.1.Pressure 18 (Pa)</t>
  </si>
  <si>
    <t>ERAD.1.Pressure 19 (Pa)</t>
  </si>
  <si>
    <t>ERAD.1.Pressure 20 (Pa)</t>
  </si>
  <si>
    <t>ERAD.1.Pressure 21 (Pa)</t>
  </si>
  <si>
    <t>ERAD.1.Pressure 22 (Pa)</t>
  </si>
  <si>
    <t>ERAD.1.Pressure 23 (Pa)</t>
  </si>
  <si>
    <t>ERAD.1.Pressure 24 (Pa)</t>
  </si>
  <si>
    <t>ERAD.1.Pressure 25 (Pa)</t>
  </si>
  <si>
    <t>ERAD.1.Pressure 26 (Pa)</t>
  </si>
  <si>
    <t>ERAD.1.Pressure 27 (Pa)</t>
  </si>
  <si>
    <t>ERAD.1.Pressure 28 (Pa)</t>
  </si>
  <si>
    <t>ERAD.1.Pressure 29 (Pa)</t>
  </si>
  <si>
    <t>ERAD.1.Pressure 30 (Pa)</t>
  </si>
  <si>
    <t>Drag Force</t>
  </si>
  <si>
    <t>Confi 1</t>
  </si>
  <si>
    <t>Confi 2</t>
  </si>
  <si>
    <t>Confi 3</t>
  </si>
  <si>
    <t>Confi 4</t>
  </si>
  <si>
    <t>Re</t>
  </si>
  <si>
    <t>Re average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</si>
</sst>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sz val="12"/>
      <color rgb="FF000000"/>
      <name val="Aptos Narrow"/>
      <family val="2"/>
      <charset val="1"/>
    </font>
    <font>
      <sz val="12"/>
      <color rgb="FF242424"/>
      <name val="Aptos Narrow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36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1" fillId="0" borderId="0" xfId="0" applyNumberFormat="1" applyFont="1"/>
    <xf numFmtId="0" fontId="1" fillId="2" borderId="0" xfId="0" applyFont="1" applyFill="1"/>
    <xf numFmtId="164" fontId="1" fillId="2" borderId="0" xfId="0" applyNumberFormat="1" applyFont="1" applyFill="1"/>
    <xf numFmtId="0" fontId="0" fillId="2" borderId="0" xfId="0" applyFill="1"/>
    <xf numFmtId="164" fontId="0" fillId="2" borderId="0" xfId="0" applyNumberFormat="1" applyFill="1"/>
    <xf numFmtId="1" fontId="1" fillId="2" borderId="0" xfId="0" applyNumberFormat="1" applyFont="1" applyFill="1"/>
    <xf numFmtId="0" fontId="0" fillId="0" borderId="0" xfId="0" applyAlignment="1">
      <alignment horizontal="right"/>
    </xf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0" fontId="0" fillId="5" borderId="0" xfId="0" applyFill="1"/>
    <xf numFmtId="10" fontId="0" fillId="0" borderId="0" xfId="1" applyNumberFormat="1" applyFont="1" applyAlignment="1"/>
    <xf numFmtId="0" fontId="0" fillId="6" borderId="0" xfId="0" applyFill="1"/>
    <xf numFmtId="0" fontId="1" fillId="6" borderId="0" xfId="0" applyFont="1" applyFill="1"/>
    <xf numFmtId="164" fontId="1" fillId="6" borderId="0" xfId="0" applyNumberFormat="1" applyFont="1" applyFill="1"/>
    <xf numFmtId="0" fontId="0" fillId="7" borderId="0" xfId="0" applyFill="1"/>
    <xf numFmtId="0" fontId="1" fillId="7" borderId="0" xfId="0" applyFont="1" applyFill="1"/>
    <xf numFmtId="164" fontId="1" fillId="7" borderId="0" xfId="0" applyNumberFormat="1" applyFont="1" applyFill="1"/>
    <xf numFmtId="0" fontId="0" fillId="8" borderId="0" xfId="0" applyFill="1"/>
    <xf numFmtId="0" fontId="1" fillId="8" borderId="0" xfId="0" applyFont="1" applyFill="1"/>
    <xf numFmtId="164" fontId="1" fillId="8" borderId="0" xfId="0" applyNumberFormat="1" applyFont="1" applyFill="1"/>
    <xf numFmtId="164" fontId="0" fillId="6" borderId="0" xfId="0" applyNumberFormat="1" applyFill="1"/>
    <xf numFmtId="164" fontId="0" fillId="7" borderId="0" xfId="0" applyNumberFormat="1" applyFill="1"/>
    <xf numFmtId="164" fontId="0" fillId="8" borderId="0" xfId="0" applyNumberFormat="1" applyFill="1"/>
    <xf numFmtId="0" fontId="4" fillId="2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5" fillId="2" borderId="0" xfId="0" applyFont="1" applyFill="1"/>
    <xf numFmtId="0" fontId="4" fillId="2" borderId="0" xfId="0" applyFont="1" applyFill="1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'Configuration 1 '!$D$36:$L$36</c:f>
              <c:numCache>
                <c:formatCode>General</c:formatCode>
                <c:ptCount val="9"/>
                <c:pt idx="0">
                  <c:v>-2.1330327305294685</c:v>
                </c:pt>
                <c:pt idx="1">
                  <c:v>-2.0203598626719934</c:v>
                </c:pt>
                <c:pt idx="2">
                  <c:v>-2.0807355574966571</c:v>
                </c:pt>
                <c:pt idx="3">
                  <c:v>-2.1775900379333382</c:v>
                </c:pt>
                <c:pt idx="4">
                  <c:v>-2.3032660239096909</c:v>
                </c:pt>
                <c:pt idx="5">
                  <c:v>-2.3274890662317014</c:v>
                </c:pt>
                <c:pt idx="6">
                  <c:v>-2.3900166826661655</c:v>
                </c:pt>
                <c:pt idx="7">
                  <c:v>-2.3756161827942939</c:v>
                </c:pt>
                <c:pt idx="8">
                  <c:v>-2.4162868015741319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38-44E5-84C5-A83A3F75A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6736391"/>
        <c:axId val="2078613511"/>
      </c:lineChart>
      <c:catAx>
        <c:axId val="20467363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613511"/>
        <c:crosses val="autoZero"/>
        <c:auto val="1"/>
        <c:lblAlgn val="ctr"/>
        <c:lblOffset val="100"/>
        <c:noMultiLvlLbl val="0"/>
      </c:catAx>
      <c:valAx>
        <c:axId val="2078613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6736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Lift force vs Re.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Configuration 1 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Sheet1!$D$1:$L$1</c:f>
              <c:numCache>
                <c:formatCode>General</c:formatCode>
                <c:ptCount val="9"/>
                <c:pt idx="0">
                  <c:v>-0.16676483391858574</c:v>
                </c:pt>
                <c:pt idx="1">
                  <c:v>-0.66116563980134091</c:v>
                </c:pt>
                <c:pt idx="2">
                  <c:v>-1.6869072322763743</c:v>
                </c:pt>
                <c:pt idx="3">
                  <c:v>-3.1466504824888366</c:v>
                </c:pt>
                <c:pt idx="4">
                  <c:v>-5.2037759645582566</c:v>
                </c:pt>
                <c:pt idx="5">
                  <c:v>-7.3889729251409149</c:v>
                </c:pt>
                <c:pt idx="6">
                  <c:v>-10.459478462837426</c:v>
                </c:pt>
                <c:pt idx="7">
                  <c:v>-13.571955798790784</c:v>
                </c:pt>
                <c:pt idx="8">
                  <c:v>-16.033463499952262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82A-48F5-808E-A9BB9B8F62B0}"/>
            </c:ext>
          </c:extLst>
        </c:ser>
        <c:ser>
          <c:idx val="1"/>
          <c:order val="1"/>
          <c:tx>
            <c:v>Configuration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Sheet1!$D$2:$L$2</c:f>
              <c:numCache>
                <c:formatCode>General</c:formatCode>
                <c:ptCount val="9"/>
                <c:pt idx="0">
                  <c:v>-0.28369890717118695</c:v>
                </c:pt>
                <c:pt idx="1">
                  <c:v>-1.2360232921342098</c:v>
                </c:pt>
                <c:pt idx="2">
                  <c:v>-2.8609460977319134</c:v>
                </c:pt>
                <c:pt idx="3">
                  <c:v>-5.2617288645127678</c:v>
                </c:pt>
                <c:pt idx="4">
                  <c:v>-8.340220685240098</c:v>
                </c:pt>
                <c:pt idx="5">
                  <c:v>-12.046185318922786</c:v>
                </c:pt>
                <c:pt idx="6">
                  <c:v>-16.881510425057954</c:v>
                </c:pt>
                <c:pt idx="7">
                  <c:v>-22.127749968246384</c:v>
                </c:pt>
                <c:pt idx="8">
                  <c:v>-28.723564261812133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82A-48F5-808E-A9BB9B8F62B0}"/>
            </c:ext>
          </c:extLst>
        </c:ser>
        <c:ser>
          <c:idx val="2"/>
          <c:order val="2"/>
          <c:tx>
            <c:v>Configuration 3 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Sheet1!$D$3:$L$3</c:f>
              <c:numCache>
                <c:formatCode>General</c:formatCode>
                <c:ptCount val="9"/>
                <c:pt idx="0">
                  <c:v>-0.2053516126788906</c:v>
                </c:pt>
                <c:pt idx="1">
                  <c:v>-0.73376992858574841</c:v>
                </c:pt>
                <c:pt idx="2">
                  <c:v>-1.7702483715927035</c:v>
                </c:pt>
                <c:pt idx="3">
                  <c:v>-3.0802151060500682</c:v>
                </c:pt>
                <c:pt idx="4">
                  <c:v>-5.0622201935627196</c:v>
                </c:pt>
                <c:pt idx="5">
                  <c:v>-7.337660947690761</c:v>
                </c:pt>
                <c:pt idx="6">
                  <c:v>-10.212507555090514</c:v>
                </c:pt>
                <c:pt idx="7">
                  <c:v>-13.364872465415397</c:v>
                </c:pt>
                <c:pt idx="8">
                  <c:v>-15.415784844683552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82A-48F5-808E-A9BB9B8F62B0}"/>
            </c:ext>
          </c:extLst>
        </c:ser>
        <c:ser>
          <c:idx val="3"/>
          <c:order val="3"/>
          <c:tx>
            <c:v>Configuration 4 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Sheet1!$D$4:$L$4</c:f>
              <c:numCache>
                <c:formatCode>General</c:formatCode>
                <c:ptCount val="9"/>
                <c:pt idx="0">
                  <c:v>-0.28733678173130284</c:v>
                </c:pt>
                <c:pt idx="1">
                  <c:v>-1.1357424983509143</c:v>
                </c:pt>
                <c:pt idx="2">
                  <c:v>-2.6565875525128644</c:v>
                </c:pt>
                <c:pt idx="3">
                  <c:v>-4.8970106963168192</c:v>
                </c:pt>
                <c:pt idx="4">
                  <c:v>-7.6924473314682542</c:v>
                </c:pt>
                <c:pt idx="5">
                  <c:v>-11.232601309403579</c:v>
                </c:pt>
                <c:pt idx="6">
                  <c:v>-15.378261234077572</c:v>
                </c:pt>
                <c:pt idx="7">
                  <c:v>-20.403543981788804</c:v>
                </c:pt>
                <c:pt idx="8">
                  <c:v>-25.272593812320462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82A-48F5-808E-A9BB9B8F6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16711"/>
        <c:axId val="10814983"/>
      </c:lineChart>
      <c:catAx>
        <c:axId val="9416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4983"/>
        <c:crosses val="autoZero"/>
        <c:auto val="1"/>
        <c:lblAlgn val="ctr"/>
        <c:lblOffset val="100"/>
        <c:noMultiLvlLbl val="0"/>
      </c:catAx>
      <c:valAx>
        <c:axId val="10814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16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Pitch moment vs Re.</a:t>
            </a:r>
          </a:p>
        </c:rich>
      </c:tx>
      <c:layout>
        <c:manualLayout>
          <c:xMode val="edge"/>
          <c:yMode val="edge"/>
          <c:x val="0.32615966754155729"/>
          <c:y val="3.47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Configuration 1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Sheet1!$D$7:$L$7</c:f>
              <c:numCache>
                <c:formatCode>General</c:formatCode>
                <c:ptCount val="9"/>
                <c:pt idx="0">
                  <c:v>-0.43886590364758843</c:v>
                </c:pt>
                <c:pt idx="1">
                  <c:v>-1.6290819573281718</c:v>
                </c:pt>
                <c:pt idx="2">
                  <c:v>-3.7413176819943965</c:v>
                </c:pt>
                <c:pt idx="3">
                  <c:v>-6.9373975720471197</c:v>
                </c:pt>
                <c:pt idx="4">
                  <c:v>-11.425072511212726</c:v>
                </c:pt>
                <c:pt idx="5">
                  <c:v>-16.590687038573353</c:v>
                </c:pt>
                <c:pt idx="6">
                  <c:v>-23.351136031969038</c:v>
                </c:pt>
                <c:pt idx="7">
                  <c:v>-30.625586355509565</c:v>
                </c:pt>
                <c:pt idx="8">
                  <c:v>-39.373598420509339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D7-44D7-89A6-BF7EADB269C4}"/>
            </c:ext>
          </c:extLst>
        </c:ser>
        <c:ser>
          <c:idx val="1"/>
          <c:order val="1"/>
          <c:tx>
            <c:v>Configuration 2 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Sheet1!$D$8:$L$8</c:f>
              <c:numCache>
                <c:formatCode>General</c:formatCode>
                <c:ptCount val="9"/>
                <c:pt idx="0">
                  <c:v>-0.44997189245312746</c:v>
                </c:pt>
                <c:pt idx="1">
                  <c:v>-1.7232870056529734</c:v>
                </c:pt>
                <c:pt idx="2">
                  <c:v>-3.7968677070497638</c:v>
                </c:pt>
                <c:pt idx="3">
                  <c:v>-6.900920423461149</c:v>
                </c:pt>
                <c:pt idx="4">
                  <c:v>-10.779734033509829</c:v>
                </c:pt>
                <c:pt idx="5">
                  <c:v>-15.683811389892094</c:v>
                </c:pt>
                <c:pt idx="6">
                  <c:v>-21.964738832325295</c:v>
                </c:pt>
                <c:pt idx="7">
                  <c:v>-29.087762183297563</c:v>
                </c:pt>
                <c:pt idx="8">
                  <c:v>-37.282953544707759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D7-44D7-89A6-BF7EADB269C4}"/>
            </c:ext>
          </c:extLst>
        </c:ser>
        <c:ser>
          <c:idx val="2"/>
          <c:order val="2"/>
          <c:tx>
            <c:v>Configuration 3 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Sheet1!$D$9:$L$9</c:f>
              <c:numCache>
                <c:formatCode>General</c:formatCode>
                <c:ptCount val="9"/>
                <c:pt idx="0">
                  <c:v>-0.43272432451788595</c:v>
                </c:pt>
                <c:pt idx="1">
                  <c:v>-1.6666404020908805</c:v>
                </c:pt>
                <c:pt idx="2">
                  <c:v>-3.6939414380074873</c:v>
                </c:pt>
                <c:pt idx="3">
                  <c:v>-6.6763126448477905</c:v>
                </c:pt>
                <c:pt idx="4">
                  <c:v>-11.072393917104291</c:v>
                </c:pt>
                <c:pt idx="5">
                  <c:v>-16.222394640305993</c:v>
                </c:pt>
                <c:pt idx="6">
                  <c:v>-22.923118983904455</c:v>
                </c:pt>
                <c:pt idx="7">
                  <c:v>-30.379781541346674</c:v>
                </c:pt>
                <c:pt idx="8">
                  <c:v>-39.06615954485558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D7-44D7-89A6-BF7EADB269C4}"/>
            </c:ext>
          </c:extLst>
        </c:ser>
        <c:ser>
          <c:idx val="3"/>
          <c:order val="3"/>
          <c:tx>
            <c:v>Configuration 4 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Sheet1!C20:K20</c:f>
              <c:numCache>
                <c:formatCode>General</c:formatCode>
                <c:ptCount val="9"/>
              </c:numCache>
            </c:numRef>
          </c:cat>
          <c:val>
            <c:numRef>
              <c:f>Sheet1!$D$10:$L$10</c:f>
              <c:numCache>
                <c:formatCode>General</c:formatCode>
                <c:ptCount val="9"/>
                <c:pt idx="0">
                  <c:v>-0.42740321425096456</c:v>
                </c:pt>
                <c:pt idx="1">
                  <c:v>-1.6103155613554707</c:v>
                </c:pt>
                <c:pt idx="2">
                  <c:v>-3.6255517480589905</c:v>
                </c:pt>
                <c:pt idx="3">
                  <c:v>-6.6644554956556137</c:v>
                </c:pt>
                <c:pt idx="4">
                  <c:v>-10.56171995923078</c:v>
                </c:pt>
                <c:pt idx="5">
                  <c:v>-15.781794208920404</c:v>
                </c:pt>
                <c:pt idx="6">
                  <c:v>-22.043193517163182</c:v>
                </c:pt>
                <c:pt idx="7">
                  <c:v>-29.034289761749758</c:v>
                </c:pt>
                <c:pt idx="8">
                  <c:v>-37.135950293050428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D7-44D7-89A6-BF7EADB26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19751"/>
        <c:axId val="24839687"/>
      </c:barChart>
      <c:catAx>
        <c:axId val="23519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39687"/>
        <c:crosses val="autoZero"/>
        <c:auto val="1"/>
        <c:lblAlgn val="ctr"/>
        <c:lblOffset val="100"/>
        <c:noMultiLvlLbl val="0"/>
      </c:catAx>
      <c:valAx>
        <c:axId val="24839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19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742950</xdr:colOff>
      <xdr:row>46</xdr:row>
      <xdr:rowOff>66675</xdr:rowOff>
    </xdr:from>
    <xdr:to>
      <xdr:col>10</xdr:col>
      <xdr:colOff>419100</xdr:colOff>
      <xdr:row>60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4C0B33-81FE-C889-94BD-BDA6F5AD52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600075</xdr:colOff>
      <xdr:row>19</xdr:row>
      <xdr:rowOff>47625</xdr:rowOff>
    </xdr:from>
    <xdr:to>
      <xdr:col>36</xdr:col>
      <xdr:colOff>209550</xdr:colOff>
      <xdr:row>43</xdr:row>
      <xdr:rowOff>85725</xdr:rowOff>
    </xdr:to>
    <xdr:pic>
      <xdr:nvPicPr>
        <xdr:cNvPr id="13" name="圖片 1">
          <a:extLst>
            <a:ext uri="{FF2B5EF4-FFF2-40B4-BE49-F238E27FC236}">
              <a16:creationId xmlns:a16="http://schemas.microsoft.com/office/drawing/2014/main" id="{D955A151-C5AC-5671-358C-F8929C117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3562350"/>
          <a:ext cx="7534275" cy="4381500"/>
        </a:xfrm>
        <a:prstGeom prst="rect">
          <a:avLst/>
        </a:prstGeom>
      </xdr:spPr>
    </xdr:pic>
    <xdr:clientData/>
  </xdr:twoCellAnchor>
  <xdr:twoCellAnchor editAs="oneCell">
    <xdr:from>
      <xdr:col>23</xdr:col>
      <xdr:colOff>342900</xdr:colOff>
      <xdr:row>13</xdr:row>
      <xdr:rowOff>171450</xdr:rowOff>
    </xdr:from>
    <xdr:to>
      <xdr:col>34</xdr:col>
      <xdr:colOff>390525</xdr:colOff>
      <xdr:row>19</xdr:row>
      <xdr:rowOff>9525</xdr:rowOff>
    </xdr:to>
    <xdr:pic>
      <xdr:nvPicPr>
        <xdr:cNvPr id="12" name="圖片 3">
          <a:extLst>
            <a:ext uri="{FF2B5EF4-FFF2-40B4-BE49-F238E27FC236}">
              <a16:creationId xmlns:a16="http://schemas.microsoft.com/office/drawing/2014/main" id="{3E3A8807-C7F8-4125-424B-1677EE2AAE97}"/>
            </a:ext>
            <a:ext uri="{147F2762-F138-4A5C-976F-8EAC2B608ADB}">
              <a16:predDERef xmlns:a16="http://schemas.microsoft.com/office/drawing/2014/main" pred="{D955A151-C5AC-5671-358C-F8929C117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8575" y="2524125"/>
          <a:ext cx="6753225" cy="1000125"/>
        </a:xfrm>
        <a:prstGeom prst="rect">
          <a:avLst/>
        </a:prstGeom>
      </xdr:spPr>
    </xdr:pic>
    <xdr:clientData/>
  </xdr:twoCellAnchor>
  <xdr:twoCellAnchor>
    <xdr:from>
      <xdr:col>2</xdr:col>
      <xdr:colOff>198510</xdr:colOff>
      <xdr:row>21</xdr:row>
      <xdr:rowOff>123823</xdr:rowOff>
    </xdr:from>
    <xdr:to>
      <xdr:col>20</xdr:col>
      <xdr:colOff>303285</xdr:colOff>
      <xdr:row>52</xdr:row>
      <xdr:rowOff>9524</xdr:rowOff>
    </xdr:to>
    <xdr:graphicFrame macro="">
      <xdr:nvGraphicFramePr>
        <xdr:cNvPr id="21" name="Chart 16">
          <a:extLst>
            <a:ext uri="{FF2B5EF4-FFF2-40B4-BE49-F238E27FC236}">
              <a16:creationId xmlns:a16="http://schemas.microsoft.com/office/drawing/2014/main" id="{488650D2-153D-BCB7-5508-8645A95A8A26}"/>
            </a:ext>
            <a:ext uri="{147F2762-F138-4A5C-976F-8EAC2B608ADB}">
              <a16:predDERef xmlns:a16="http://schemas.microsoft.com/office/drawing/2014/main" pred="{3E3A8807-C7F8-4125-424B-1677EE2AAE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247650</xdr:colOff>
      <xdr:row>74</xdr:row>
      <xdr:rowOff>171450</xdr:rowOff>
    </xdr:from>
    <xdr:to>
      <xdr:col>22</xdr:col>
      <xdr:colOff>514350</xdr:colOff>
      <xdr:row>111</xdr:row>
      <xdr:rowOff>152400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44F10DF-5AA2-1483-61E5-7696A1750F41}"/>
            </a:ext>
            <a:ext uri="{147F2762-F138-4A5C-976F-8EAC2B608ADB}">
              <a16:predDERef xmlns:a16="http://schemas.microsoft.com/office/drawing/2014/main" pred="{488650D2-153D-BCB7-5508-8645A95A8A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W41"/>
  <sheetViews>
    <sheetView topLeftCell="A25" zoomScaleNormal="100" workbookViewId="0">
      <selection activeCell="D37" sqref="D37"/>
    </sheetView>
  </sheetViews>
  <sheetFormatPr defaultRowHeight="15"/>
  <cols>
    <col min="2" max="2" width="35.7109375" bestFit="1" customWidth="1"/>
    <col min="3" max="3" width="6.7109375" customWidth="1"/>
    <col min="4" max="4" width="15.5703125" customWidth="1"/>
    <col min="5" max="5" width="16.5703125" customWidth="1"/>
    <col min="6" max="6" width="15" customWidth="1"/>
    <col min="7" max="7" width="14.85546875" customWidth="1"/>
    <col min="8" max="9" width="14.42578125" customWidth="1"/>
    <col min="10" max="10" width="14.7109375" customWidth="1"/>
    <col min="11" max="11" width="15.42578125" customWidth="1"/>
    <col min="12" max="12" width="14.85546875" customWidth="1"/>
    <col min="13" max="13" width="12.7109375" customWidth="1"/>
    <col min="14" max="23" width="12.7109375" bestFit="1" customWidth="1"/>
  </cols>
  <sheetData>
    <row r="3" spans="2:23">
      <c r="B3" t="s">
        <v>0</v>
      </c>
      <c r="C3" s="1"/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</row>
    <row r="4" spans="2:23">
      <c r="B4" t="s">
        <v>1</v>
      </c>
      <c r="C4" s="1"/>
      <c r="D4">
        <v>381.14499999999998</v>
      </c>
      <c r="E4">
        <v>381.14499999999998</v>
      </c>
      <c r="F4">
        <v>381.14499999999998</v>
      </c>
      <c r="G4">
        <v>381.14499999999998</v>
      </c>
      <c r="H4">
        <v>381.14499999999998</v>
      </c>
      <c r="I4">
        <v>381.14499999999998</v>
      </c>
      <c r="J4">
        <v>381.14499999999998</v>
      </c>
      <c r="K4">
        <v>381.14499999999998</v>
      </c>
      <c r="L4">
        <v>381.14499999999998</v>
      </c>
    </row>
    <row r="5" spans="2:23">
      <c r="B5" t="s">
        <v>2</v>
      </c>
      <c r="C5" s="1" t="s">
        <v>3</v>
      </c>
      <c r="D5">
        <v>73.5</v>
      </c>
      <c r="E5">
        <v>108.6</v>
      </c>
      <c r="F5">
        <v>138.6</v>
      </c>
      <c r="G5">
        <v>178.6</v>
      </c>
      <c r="H5">
        <v>238.5</v>
      </c>
      <c r="I5">
        <v>268.8</v>
      </c>
      <c r="J5">
        <v>304</v>
      </c>
      <c r="K5">
        <v>333.8</v>
      </c>
      <c r="L5">
        <v>362.1</v>
      </c>
    </row>
    <row r="6" spans="2:23">
      <c r="B6" t="s">
        <v>0</v>
      </c>
      <c r="C6" s="1"/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</row>
    <row r="7" spans="2:23">
      <c r="B7" t="s">
        <v>1</v>
      </c>
      <c r="C7" s="1"/>
      <c r="D7">
        <v>381.14499999999998</v>
      </c>
      <c r="E7">
        <v>381.14499999999998</v>
      </c>
      <c r="F7">
        <v>381.14499999999998</v>
      </c>
      <c r="G7">
        <v>381.14499999999998</v>
      </c>
      <c r="H7">
        <v>381.14499999999998</v>
      </c>
      <c r="I7">
        <v>381.14499999999998</v>
      </c>
      <c r="J7">
        <v>381.14499999999998</v>
      </c>
      <c r="K7">
        <v>381.14499999999998</v>
      </c>
      <c r="L7">
        <v>381.14499999999998</v>
      </c>
    </row>
    <row r="8" spans="2:23">
      <c r="B8" t="s">
        <v>4</v>
      </c>
      <c r="C8" s="1" t="s">
        <v>3</v>
      </c>
      <c r="D8">
        <v>79.7</v>
      </c>
      <c r="E8">
        <v>115.3</v>
      </c>
      <c r="F8">
        <v>144.9</v>
      </c>
      <c r="G8">
        <v>185.1</v>
      </c>
      <c r="H8">
        <v>244.9</v>
      </c>
      <c r="I8">
        <v>275</v>
      </c>
      <c r="J8">
        <v>310.10000000000002</v>
      </c>
      <c r="K8">
        <v>339.9</v>
      </c>
      <c r="L8">
        <v>368.3</v>
      </c>
    </row>
    <row r="9" spans="2:23" s="2" customFormat="1">
      <c r="B9" s="5" t="s">
        <v>5</v>
      </c>
      <c r="C9" s="6" t="s">
        <v>6</v>
      </c>
      <c r="D9" s="5">
        <v>5.0829874548631899</v>
      </c>
      <c r="E9" s="5">
        <v>10.060355676736352</v>
      </c>
      <c r="F9" s="5">
        <v>15.023077695853708</v>
      </c>
      <c r="G9" s="5">
        <v>20.004031294428188</v>
      </c>
      <c r="H9" s="5">
        <v>24.951973433289211</v>
      </c>
      <c r="I9" s="5">
        <v>29.891824296516869</v>
      </c>
      <c r="J9" s="5">
        <v>35.027130841144931</v>
      </c>
      <c r="K9" s="5">
        <v>40.293065233867893</v>
      </c>
      <c r="L9" s="5">
        <v>45.322245710154583</v>
      </c>
    </row>
    <row r="10" spans="2:23" s="2" customFormat="1">
      <c r="B10" s="2" t="s">
        <v>7</v>
      </c>
      <c r="C10" s="3" t="s">
        <v>6</v>
      </c>
      <c r="D10" s="4">
        <v>1.1835794646473201E-4</v>
      </c>
      <c r="E10" s="4">
        <v>1.1835794646473201E-4</v>
      </c>
      <c r="F10" s="4">
        <v>1.1835794646473201E-4</v>
      </c>
      <c r="G10" s="4">
        <v>1.1835794646473201E-4</v>
      </c>
      <c r="H10" s="4">
        <v>1.1835794646473201E-4</v>
      </c>
      <c r="I10" s="4">
        <v>1.1835794646473201E-4</v>
      </c>
      <c r="J10" s="4">
        <v>1.1835794646473201E-4</v>
      </c>
      <c r="K10" s="4">
        <v>1.1835794646473201E-4</v>
      </c>
      <c r="L10" s="4">
        <v>1.1835794646473201E-4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</row>
    <row r="11" spans="2:23">
      <c r="B11" t="s">
        <v>8</v>
      </c>
      <c r="C11" s="1" t="s">
        <v>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23">
      <c r="B12" s="7" t="s">
        <v>9</v>
      </c>
      <c r="C12" s="8" t="s">
        <v>6</v>
      </c>
      <c r="D12" s="7">
        <v>1.1850235267690501</v>
      </c>
      <c r="E12" s="7">
        <v>1.1855455870923288</v>
      </c>
      <c r="F12" s="7">
        <v>1.1855519738814511</v>
      </c>
      <c r="G12" s="7">
        <v>1.1847211435316483</v>
      </c>
      <c r="H12" s="7">
        <v>1.1855934520775366</v>
      </c>
      <c r="I12" s="7">
        <v>1.1871418267807079</v>
      </c>
      <c r="J12" s="7">
        <v>1.1850281829825762</v>
      </c>
      <c r="K12" s="7">
        <v>1.1816211352434329</v>
      </c>
      <c r="L12" s="7">
        <v>1.1804959756795657</v>
      </c>
      <c r="N12" s="7">
        <f>D12*D9*0.61/D16</f>
        <v>198661.73048485789</v>
      </c>
    </row>
    <row r="13" spans="2:23">
      <c r="B13" t="s">
        <v>10</v>
      </c>
      <c r="C13" s="1" t="s">
        <v>6</v>
      </c>
      <c r="D13">
        <v>1013.7912483369151</v>
      </c>
      <c r="E13">
        <v>1013.8015212585675</v>
      </c>
      <c r="F13">
        <v>1013.80189259847</v>
      </c>
      <c r="G13">
        <v>1013.7535967460042</v>
      </c>
      <c r="H13">
        <v>1013.7518089264631</v>
      </c>
      <c r="I13">
        <v>1013.7467845793693</v>
      </c>
      <c r="J13">
        <v>1013.7520794008593</v>
      </c>
      <c r="K13">
        <v>1013.7346020682911</v>
      </c>
      <c r="L13">
        <v>1013.7517599905691</v>
      </c>
    </row>
    <row r="14" spans="2:23">
      <c r="B14" t="s">
        <v>11</v>
      </c>
      <c r="C14" s="1" t="s">
        <v>6</v>
      </c>
      <c r="D14">
        <v>24.882767481957671</v>
      </c>
      <c r="E14">
        <v>24.754546973954348</v>
      </c>
      <c r="F14">
        <v>24.753051246158634</v>
      </c>
      <c r="G14">
        <v>24.94776624532841</v>
      </c>
      <c r="H14">
        <v>24.727917985618092</v>
      </c>
      <c r="I14">
        <v>24.337919770517601</v>
      </c>
      <c r="J14">
        <v>24.870089701355425</v>
      </c>
      <c r="K14">
        <v>25.724237041786012</v>
      </c>
      <c r="L14">
        <v>26.014158930317024</v>
      </c>
    </row>
    <row r="15" spans="2:23">
      <c r="B15" t="s">
        <v>12</v>
      </c>
      <c r="C15" s="1" t="s">
        <v>6</v>
      </c>
      <c r="D15">
        <v>22.004205677201639</v>
      </c>
      <c r="E15">
        <v>21.983527863559402</v>
      </c>
      <c r="F15">
        <v>21.987720069052671</v>
      </c>
      <c r="G15">
        <v>21.964005706860405</v>
      </c>
      <c r="H15">
        <v>21.918800995498884</v>
      </c>
      <c r="I15">
        <v>21.893618968609815</v>
      </c>
      <c r="J15">
        <v>21.840134379511937</v>
      </c>
      <c r="K15">
        <v>21.80174860719768</v>
      </c>
      <c r="L15">
        <v>21.778005646505619</v>
      </c>
    </row>
    <row r="16" spans="2:23">
      <c r="B16" s="7" t="s">
        <v>13</v>
      </c>
      <c r="C16" s="8" t="s">
        <v>6</v>
      </c>
      <c r="D16" s="7">
        <v>1.8495310699278312E-5</v>
      </c>
      <c r="E16" s="7">
        <v>1.8495310699278312E-5</v>
      </c>
      <c r="F16" s="7">
        <v>1.8495310699278312E-5</v>
      </c>
      <c r="G16" s="7">
        <v>1.8495310699278312E-5</v>
      </c>
      <c r="H16" s="7">
        <v>1.8495310699278312E-5</v>
      </c>
      <c r="I16" s="7">
        <v>1.8495310699278312E-5</v>
      </c>
      <c r="J16" s="7">
        <v>1.8495310699278312E-5</v>
      </c>
      <c r="K16" s="7">
        <v>1.8495310699278312E-5</v>
      </c>
      <c r="L16" s="7">
        <v>1.8495310699278312E-5</v>
      </c>
      <c r="N16" t="s">
        <v>14</v>
      </c>
    </row>
    <row r="17" spans="2:15" s="2" customFormat="1">
      <c r="B17" s="5" t="s">
        <v>15</v>
      </c>
      <c r="C17" s="6" t="s">
        <v>6</v>
      </c>
      <c r="D17" s="5">
        <v>0.32737089681585813</v>
      </c>
      <c r="E17" s="5">
        <v>1.213288464556151</v>
      </c>
      <c r="F17" s="5">
        <v>2.827111359656322</v>
      </c>
      <c r="G17" s="5">
        <v>5.2533243203211883</v>
      </c>
      <c r="H17" s="5">
        <v>8.6803004168619804</v>
      </c>
      <c r="I17" s="5">
        <v>12.52181047394815</v>
      </c>
      <c r="J17" s="5">
        <v>17.695045642390532</v>
      </c>
      <c r="K17" s="5">
        <v>23.204599965457181</v>
      </c>
      <c r="L17" s="5">
        <v>29.693626878960039</v>
      </c>
    </row>
    <row r="18" spans="2:15" s="2" customFormat="1">
      <c r="B18" s="2" t="s">
        <v>16</v>
      </c>
      <c r="C18" s="3" t="s">
        <v>6</v>
      </c>
      <c r="D18" s="2">
        <v>3.6888946335467111E-2</v>
      </c>
      <c r="E18" s="2">
        <v>6.5061493697969791E-2</v>
      </c>
      <c r="F18" s="2">
        <v>0.15564049053070736</v>
      </c>
      <c r="G18" s="2">
        <v>0.23674754966130709</v>
      </c>
      <c r="H18" s="2">
        <v>0.36655466161967382</v>
      </c>
      <c r="I18" s="2">
        <v>0.55876366191578908</v>
      </c>
      <c r="J18" s="2">
        <v>0.56203086534948399</v>
      </c>
      <c r="K18" s="2">
        <v>0.6401983651026969</v>
      </c>
      <c r="L18" s="2">
        <v>0.89369649974643495</v>
      </c>
    </row>
    <row r="19" spans="2:15" s="2" customFormat="1">
      <c r="B19" s="2" t="s">
        <v>17</v>
      </c>
      <c r="C19" s="3" t="s">
        <v>6</v>
      </c>
      <c r="D19" s="2">
        <v>-0.16676483391858574</v>
      </c>
      <c r="E19" s="2">
        <v>-0.66116563980134091</v>
      </c>
      <c r="F19" s="2">
        <v>-1.6869072322763743</v>
      </c>
      <c r="G19" s="2">
        <v>-3.1466504824888366</v>
      </c>
      <c r="H19" s="2">
        <v>-5.2037759645582566</v>
      </c>
      <c r="I19" s="2">
        <v>-7.3889729251409149</v>
      </c>
      <c r="J19" s="2">
        <v>-10.459478462837426</v>
      </c>
      <c r="K19" s="2">
        <v>-13.571955798790784</v>
      </c>
      <c r="L19" s="2">
        <v>-16.033463499952262</v>
      </c>
      <c r="N19" s="2">
        <f>D17/N22*0.042</f>
        <v>8.9816123303080621E-4</v>
      </c>
      <c r="O19" s="2">
        <f>I17/N21*0.042</f>
        <v>9.9160558404768804E-4</v>
      </c>
    </row>
    <row r="20" spans="2:15">
      <c r="B20" t="s">
        <v>18</v>
      </c>
      <c r="C20" s="1" t="s">
        <v>6</v>
      </c>
      <c r="D20">
        <v>2.5341976057761936E-2</v>
      </c>
      <c r="E20">
        <v>6.993343720807918E-2</v>
      </c>
      <c r="F20">
        <v>0.1920063598280102</v>
      </c>
      <c r="G20">
        <v>0.29662963166563722</v>
      </c>
      <c r="H20">
        <v>0.44986979937690513</v>
      </c>
      <c r="I20">
        <v>0.67950188159502445</v>
      </c>
      <c r="J20">
        <v>0.69020326554667644</v>
      </c>
      <c r="K20">
        <v>0.85410124169060864</v>
      </c>
      <c r="L20">
        <v>1.2075508761390081</v>
      </c>
    </row>
    <row r="21" spans="2:15">
      <c r="B21" t="s">
        <v>19</v>
      </c>
      <c r="C21" s="1" t="s">
        <v>6</v>
      </c>
      <c r="D21">
        <v>-0.43886590364758843</v>
      </c>
      <c r="E21">
        <v>-1.6290819573281718</v>
      </c>
      <c r="F21">
        <v>-3.7413176819943965</v>
      </c>
      <c r="G21">
        <v>-6.9373975720471197</v>
      </c>
      <c r="H21">
        <v>-11.425072511212726</v>
      </c>
      <c r="I21">
        <v>-16.590687038573353</v>
      </c>
      <c r="J21">
        <v>-23.351136031969038</v>
      </c>
      <c r="K21">
        <v>-30.625586355509565</v>
      </c>
      <c r="L21">
        <v>-39.373598420509339</v>
      </c>
      <c r="N21">
        <f>0.5*I12*I9*I9</f>
        <v>530.36817094056437</v>
      </c>
    </row>
    <row r="22" spans="2:15">
      <c r="B22" t="s">
        <v>20</v>
      </c>
      <c r="C22" s="1" t="s">
        <v>6</v>
      </c>
      <c r="D22">
        <v>1.4256397950753221E-2</v>
      </c>
      <c r="E22">
        <v>2.3681088741049416E-2</v>
      </c>
      <c r="F22">
        <v>2.5085202606634948E-2</v>
      </c>
      <c r="G22">
        <v>1.9307883028296741E-2</v>
      </c>
      <c r="H22">
        <v>-2.8091095385651965E-2</v>
      </c>
      <c r="I22">
        <v>-5.7953089494341935E-2</v>
      </c>
      <c r="J22">
        <v>-9.1293690862995866E-2</v>
      </c>
      <c r="K22">
        <v>-8.3812440956792522E-2</v>
      </c>
      <c r="L22">
        <v>-5.017196987401535E-2</v>
      </c>
      <c r="N22">
        <f>0.5*D12*D9*D9</f>
        <v>15.308585096540726</v>
      </c>
    </row>
    <row r="23" spans="2:15">
      <c r="B23" t="s">
        <v>21</v>
      </c>
      <c r="C23" s="1" t="s">
        <v>6</v>
      </c>
      <c r="D23">
        <v>0.32737082061234057</v>
      </c>
      <c r="E23">
        <v>1.2132883301537012</v>
      </c>
      <c r="F23">
        <v>2.8271110381381477</v>
      </c>
      <c r="G23">
        <v>5.2533238312520742</v>
      </c>
      <c r="H23">
        <v>8.6802996596383455</v>
      </c>
      <c r="I23">
        <v>12.521809319663296</v>
      </c>
      <c r="J23">
        <v>17.695044481345466</v>
      </c>
      <c r="K23">
        <v>23.20459864292695</v>
      </c>
      <c r="L23">
        <v>29.693625032755779</v>
      </c>
    </row>
    <row r="24" spans="2:15">
      <c r="B24" t="s">
        <v>22</v>
      </c>
      <c r="C24" s="1" t="s">
        <v>6</v>
      </c>
      <c r="D24">
        <v>3.6889622597190037E-2</v>
      </c>
      <c r="E24">
        <v>6.5064000031322788E-2</v>
      </c>
      <c r="F24">
        <v>0.15564633059569602</v>
      </c>
      <c r="G24">
        <v>0.23675840164124362</v>
      </c>
      <c r="H24">
        <v>0.3665725928267532</v>
      </c>
      <c r="I24">
        <v>0.55878952866754672</v>
      </c>
      <c r="J24">
        <v>0.56206741863864285</v>
      </c>
      <c r="K24">
        <v>0.64024629967563595</v>
      </c>
      <c r="L24">
        <v>0.89375783893443672</v>
      </c>
    </row>
    <row r="25" spans="2:15">
      <c r="B25" t="s">
        <v>23</v>
      </c>
      <c r="C25" s="1" t="s">
        <v>6</v>
      </c>
      <c r="D25">
        <v>-0.16676483391858574</v>
      </c>
      <c r="E25">
        <v>-0.66116563980134091</v>
      </c>
      <c r="F25">
        <v>-1.6869072322763743</v>
      </c>
      <c r="G25">
        <v>-3.1466504824888366</v>
      </c>
      <c r="H25">
        <v>-5.2037759645582566</v>
      </c>
      <c r="I25">
        <v>-7.3889729251409149</v>
      </c>
      <c r="J25">
        <v>-10.459478462837426</v>
      </c>
      <c r="K25">
        <v>-13.571955798790784</v>
      </c>
      <c r="L25">
        <v>-16.033463499952262</v>
      </c>
      <c r="N25">
        <f>I17/(N21*0.042)</f>
        <v>0.56213468483429019</v>
      </c>
    </row>
    <row r="26" spans="2:15" s="2" customFormat="1">
      <c r="B26" s="2" t="s">
        <v>24</v>
      </c>
      <c r="C26" s="3" t="s">
        <v>6</v>
      </c>
      <c r="D26" s="2">
        <v>-1.486680599219364E-2</v>
      </c>
      <c r="E26" s="2">
        <v>-9.8295757319098146E-4</v>
      </c>
      <c r="F26" s="2">
        <v>2.2359588052397537E-2</v>
      </c>
      <c r="G26" s="2">
        <v>3.8577304707000298E-2</v>
      </c>
      <c r="H26" s="2">
        <v>5.0329274376793048E-2</v>
      </c>
      <c r="I26" s="2">
        <v>7.0455567323134641E-2</v>
      </c>
      <c r="J26" s="2">
        <v>7.7598016508195894E-2</v>
      </c>
      <c r="K26" s="2">
        <v>0.15629603941436332</v>
      </c>
      <c r="L26" s="2">
        <v>0.23343616715215787</v>
      </c>
    </row>
    <row r="27" spans="2:15" s="2" customFormat="1">
      <c r="B27" s="2" t="s">
        <v>25</v>
      </c>
      <c r="C27" s="3" t="s">
        <v>6</v>
      </c>
      <c r="D27" s="2">
        <v>-8.2031656829372135E-2</v>
      </c>
      <c r="E27" s="2">
        <v>-0.30659753299315251</v>
      </c>
      <c r="F27" s="2">
        <v>-0.65976625378140974</v>
      </c>
      <c r="G27" s="2">
        <v>-1.2112739832090851</v>
      </c>
      <c r="H27" s="2">
        <v>-1.9635449528703719</v>
      </c>
      <c r="I27" s="2">
        <v>-2.9419134764335593</v>
      </c>
      <c r="J27" s="2">
        <v>-4.0635361214750203</v>
      </c>
      <c r="K27" s="2">
        <v>-5.3325720703062833</v>
      </c>
      <c r="L27" s="2">
        <v>-7.0075446402403827</v>
      </c>
    </row>
    <row r="28" spans="2:15" s="2" customFormat="1">
      <c r="B28" s="2" t="s">
        <v>26</v>
      </c>
      <c r="C28" s="3" t="s">
        <v>6</v>
      </c>
      <c r="D28" s="2">
        <v>1.4256397950753221E-2</v>
      </c>
      <c r="E28" s="2">
        <v>2.3681088741049416E-2</v>
      </c>
      <c r="F28" s="2">
        <v>2.5085202606634948E-2</v>
      </c>
      <c r="G28" s="2">
        <v>1.9307883028296741E-2</v>
      </c>
      <c r="H28" s="2">
        <v>-2.8091095385651965E-2</v>
      </c>
      <c r="I28" s="2">
        <v>-5.7953089494341935E-2</v>
      </c>
      <c r="J28" s="2">
        <v>-9.1293690862995866E-2</v>
      </c>
      <c r="K28" s="2">
        <v>-8.3812440956792522E-2</v>
      </c>
      <c r="L28" s="2">
        <v>-5.017196987401535E-2</v>
      </c>
    </row>
    <row r="30" spans="2:15">
      <c r="D30" s="5">
        <v>0.32737089681585813</v>
      </c>
      <c r="E30" s="5">
        <v>1.213288464556151</v>
      </c>
      <c r="F30" s="5">
        <v>2.827111359656322</v>
      </c>
      <c r="G30" s="5">
        <v>5.2533243203211883</v>
      </c>
      <c r="H30" s="5">
        <v>8.6803004168619804</v>
      </c>
      <c r="I30" s="5">
        <v>12.52181047394815</v>
      </c>
      <c r="J30" s="5">
        <v>17.695045642390532</v>
      </c>
      <c r="K30" s="5">
        <v>23.204599965457181</v>
      </c>
      <c r="L30" s="5">
        <v>29.693626878960039</v>
      </c>
    </row>
    <row r="31" spans="2:15">
      <c r="B31" s="5" t="s">
        <v>27</v>
      </c>
      <c r="C31" s="7"/>
      <c r="D31" s="7">
        <v>198661.73048485801</v>
      </c>
      <c r="E31" s="7">
        <f t="shared" ref="E31:L31" si="0">E12*E9*0.61/E16</f>
        <v>393368.69692790048</v>
      </c>
      <c r="F31" s="7">
        <f t="shared" si="0"/>
        <v>587418.62845489418</v>
      </c>
      <c r="G31" s="7">
        <f t="shared" si="0"/>
        <v>781631.16703384591</v>
      </c>
      <c r="H31" s="7">
        <f t="shared" si="0"/>
        <v>975683.35282118549</v>
      </c>
      <c r="I31" s="7">
        <f t="shared" si="0"/>
        <v>1170370.1355263733</v>
      </c>
      <c r="J31" s="7">
        <f t="shared" si="0"/>
        <v>1368993.6932289922</v>
      </c>
      <c r="K31" s="7">
        <f t="shared" si="0"/>
        <v>1570278.7770103512</v>
      </c>
      <c r="L31" s="7">
        <f t="shared" si="0"/>
        <v>1764591.3074457422</v>
      </c>
    </row>
    <row r="32" spans="2:15">
      <c r="B32" s="5" t="s">
        <v>28</v>
      </c>
      <c r="C32" s="6" t="s">
        <v>6</v>
      </c>
      <c r="D32" s="5">
        <v>0.32737089681585813</v>
      </c>
      <c r="E32" s="5">
        <v>1.213288464556151</v>
      </c>
      <c r="F32" s="5">
        <v>2.827111359656322</v>
      </c>
      <c r="G32" s="5">
        <v>5.2533243203211883</v>
      </c>
      <c r="H32" s="5">
        <v>8.6803004168619804</v>
      </c>
      <c r="I32" s="5">
        <v>12.52181047394815</v>
      </c>
      <c r="J32" s="5">
        <v>17.695045642390532</v>
      </c>
      <c r="K32" s="5">
        <v>23.204599965457181</v>
      </c>
      <c r="L32" s="5">
        <v>29.693626878960039</v>
      </c>
    </row>
    <row r="33" spans="2:12">
      <c r="D33" s="7"/>
      <c r="E33" s="7"/>
      <c r="F33" s="7"/>
      <c r="G33" s="7"/>
      <c r="H33" s="7"/>
      <c r="I33" s="7"/>
      <c r="J33" s="7"/>
      <c r="K33" s="7"/>
      <c r="L33" s="7"/>
    </row>
    <row r="35" spans="2:12">
      <c r="B35" t="s">
        <v>29</v>
      </c>
    </row>
    <row r="36" spans="2:12">
      <c r="B36" s="7" t="s">
        <v>30</v>
      </c>
      <c r="C36" s="7"/>
      <c r="D36" s="7">
        <f>D21/(0.5*D12*(D9*D9)*0.042*0.32)</f>
        <v>-2.1330327305294685</v>
      </c>
      <c r="E36" s="7">
        <f t="shared" ref="E36:L36" si="1">E21/(0.5*E12*(E9*E9)*0.042*0.32)</f>
        <v>-2.0203598626719934</v>
      </c>
      <c r="F36" s="7">
        <f t="shared" si="1"/>
        <v>-2.0807355574966571</v>
      </c>
      <c r="G36" s="7">
        <f t="shared" si="1"/>
        <v>-2.1775900379333382</v>
      </c>
      <c r="H36" s="7">
        <f t="shared" si="1"/>
        <v>-2.3032660239096909</v>
      </c>
      <c r="I36" s="7">
        <f t="shared" si="1"/>
        <v>-2.3274890662317014</v>
      </c>
      <c r="J36" s="7">
        <f t="shared" si="1"/>
        <v>-2.3900166826661655</v>
      </c>
      <c r="K36" s="7">
        <f t="shared" si="1"/>
        <v>-2.3756161827942939</v>
      </c>
      <c r="L36" s="7">
        <f t="shared" si="1"/>
        <v>-2.4162868015741319</v>
      </c>
    </row>
    <row r="37" spans="2:12">
      <c r="B37" s="7" t="s">
        <v>31</v>
      </c>
      <c r="C37" s="7"/>
      <c r="D37" s="7">
        <f>D19/(0.5*D12*(D9*D9)*0.042)</f>
        <v>-0.25937023302519863</v>
      </c>
      <c r="E37" s="7">
        <f t="shared" ref="E37:L37" si="2">E19/(0.5*E12*(E9*E9)*0.042)</f>
        <v>-0.26238925848485356</v>
      </c>
      <c r="F37" s="7">
        <f t="shared" si="2"/>
        <v>-0.30021575573017972</v>
      </c>
      <c r="G37" s="7">
        <f t="shared" si="2"/>
        <v>-0.31606617541471504</v>
      </c>
      <c r="H37" s="7">
        <f t="shared" si="2"/>
        <v>-0.33570182738896753</v>
      </c>
      <c r="I37" s="7">
        <f t="shared" si="2"/>
        <v>-0.33170905877906598</v>
      </c>
      <c r="J37" s="7">
        <f t="shared" si="2"/>
        <v>-0.34257283906283303</v>
      </c>
      <c r="K37" s="7">
        <f t="shared" si="2"/>
        <v>-0.33688701940664384</v>
      </c>
      <c r="L37" s="7">
        <f t="shared" si="2"/>
        <v>-0.31486232637167494</v>
      </c>
    </row>
    <row r="38" spans="2:12">
      <c r="B38" s="7" t="s">
        <v>32</v>
      </c>
      <c r="C38" s="7"/>
      <c r="D38" s="7">
        <f>D17/(0.5*D12*(D9*D9)*0.042)</f>
        <v>0.50916169672948197</v>
      </c>
      <c r="E38" s="7">
        <f>E17/(0.5*E12*(E9*E9)*0.042)</f>
        <v>0.48150393997904994</v>
      </c>
      <c r="F38" s="7">
        <f t="shared" ref="E38:L38" si="3">F17/(0.5*F12*(F9*F9)*0.042)</f>
        <v>0.50313577245577001</v>
      </c>
      <c r="G38" s="7">
        <f t="shared" si="3"/>
        <v>0.52767160997929996</v>
      </c>
      <c r="H38" s="7">
        <f t="shared" si="3"/>
        <v>0.55997658855268373</v>
      </c>
      <c r="I38" s="7">
        <f t="shared" si="3"/>
        <v>0.56213468483429019</v>
      </c>
      <c r="J38" s="7">
        <f t="shared" si="3"/>
        <v>0.5795549027227207</v>
      </c>
      <c r="K38" s="7">
        <f t="shared" si="3"/>
        <v>0.57599130403761545</v>
      </c>
      <c r="L38" s="7">
        <f t="shared" si="3"/>
        <v>0.58311820384595592</v>
      </c>
    </row>
    <row r="40" spans="2:12" ht="15" customHeight="1">
      <c r="B40" s="30" t="s">
        <v>33</v>
      </c>
      <c r="C40" s="30" t="s">
        <v>34</v>
      </c>
      <c r="D40" s="30">
        <v>0.124614538</v>
      </c>
      <c r="E40" s="30">
        <v>0.456462743</v>
      </c>
      <c r="F40" s="30">
        <v>1.1676043330000001</v>
      </c>
      <c r="G40" s="30">
        <v>2.336163999</v>
      </c>
      <c r="H40" s="30">
        <v>4.1650159740000001</v>
      </c>
      <c r="I40" s="30">
        <v>6.064221302</v>
      </c>
      <c r="J40" s="30">
        <v>8.8509532889999996</v>
      </c>
      <c r="K40" s="30">
        <v>11.524415469999999</v>
      </c>
      <c r="L40" s="30">
        <v>14.93725006</v>
      </c>
    </row>
    <row r="41" spans="2:12" ht="16.5">
      <c r="B41" s="30" t="s">
        <v>35</v>
      </c>
      <c r="C41" s="30" t="s">
        <v>34</v>
      </c>
      <c r="D41" s="34">
        <v>0.193813654</v>
      </c>
      <c r="E41" s="34">
        <v>0.18115115700000001</v>
      </c>
      <c r="F41" s="34">
        <v>0.20779638</v>
      </c>
      <c r="G41" s="34">
        <v>0.234656637</v>
      </c>
      <c r="H41" s="34">
        <v>0.26869017499999998</v>
      </c>
      <c r="I41" s="34">
        <v>0.27223772000000002</v>
      </c>
      <c r="J41" s="34">
        <v>0.289889807</v>
      </c>
      <c r="K41" s="34">
        <v>0.28606238</v>
      </c>
      <c r="L41" s="34">
        <v>0.29333508000000003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85EBC-B665-4D14-82D3-44AB50016DF6}">
  <dimension ref="B3:M42"/>
  <sheetViews>
    <sheetView topLeftCell="A5" workbookViewId="0">
      <selection activeCell="C48" sqref="C48"/>
    </sheetView>
  </sheetViews>
  <sheetFormatPr defaultRowHeight="15"/>
  <cols>
    <col min="2" max="2" width="37.7109375" customWidth="1"/>
    <col min="4" max="4" width="20.140625" customWidth="1"/>
    <col min="5" max="5" width="17.5703125" customWidth="1"/>
    <col min="6" max="6" width="17.7109375" customWidth="1"/>
    <col min="7" max="7" width="19.5703125" customWidth="1"/>
    <col min="8" max="8" width="14.28515625" customWidth="1"/>
    <col min="9" max="9" width="14.5703125" customWidth="1"/>
    <col min="10" max="10" width="21.85546875" customWidth="1"/>
    <col min="11" max="11" width="19.28515625" customWidth="1"/>
    <col min="12" max="12" width="20.42578125" customWidth="1"/>
    <col min="13" max="13" width="19.28515625" customWidth="1"/>
  </cols>
  <sheetData>
    <row r="3" spans="2:13">
      <c r="B3" t="s">
        <v>0</v>
      </c>
      <c r="C3" s="1"/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</row>
    <row r="4" spans="2:13">
      <c r="B4" t="s">
        <v>1</v>
      </c>
      <c r="C4" s="1"/>
      <c r="D4">
        <v>479.65</v>
      </c>
      <c r="E4">
        <v>479.65</v>
      </c>
      <c r="F4">
        <v>479.65</v>
      </c>
      <c r="G4">
        <v>479.65</v>
      </c>
      <c r="H4">
        <v>479.65</v>
      </c>
      <c r="I4">
        <v>479.65</v>
      </c>
      <c r="J4">
        <v>479.65</v>
      </c>
      <c r="K4">
        <v>479.65</v>
      </c>
      <c r="L4">
        <v>479.65</v>
      </c>
    </row>
    <row r="5" spans="2:13">
      <c r="B5" t="s">
        <v>2</v>
      </c>
      <c r="C5" s="1" t="s">
        <v>3</v>
      </c>
      <c r="D5">
        <v>94.1</v>
      </c>
      <c r="E5">
        <v>140.9</v>
      </c>
      <c r="F5">
        <v>185.9</v>
      </c>
      <c r="G5">
        <v>247.9</v>
      </c>
      <c r="H5">
        <v>286</v>
      </c>
      <c r="I5">
        <v>346.7</v>
      </c>
      <c r="J5">
        <v>381.5</v>
      </c>
      <c r="K5">
        <v>425.8</v>
      </c>
      <c r="L5">
        <v>471</v>
      </c>
    </row>
    <row r="6" spans="2:13">
      <c r="B6" t="s">
        <v>0</v>
      </c>
      <c r="C6" s="1"/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</row>
    <row r="7" spans="2:13">
      <c r="B7" t="s">
        <v>1</v>
      </c>
      <c r="C7" s="1"/>
      <c r="D7">
        <v>479.65</v>
      </c>
      <c r="E7">
        <v>479.65</v>
      </c>
      <c r="F7">
        <v>479.65</v>
      </c>
      <c r="G7">
        <v>479.65</v>
      </c>
      <c r="H7">
        <v>479.65</v>
      </c>
      <c r="I7">
        <v>479.65</v>
      </c>
      <c r="J7">
        <v>479.65</v>
      </c>
      <c r="K7">
        <v>479.65</v>
      </c>
      <c r="L7">
        <v>479.65</v>
      </c>
    </row>
    <row r="8" spans="2:13">
      <c r="B8" t="s">
        <v>4</v>
      </c>
      <c r="C8" s="1" t="s">
        <v>3</v>
      </c>
      <c r="D8">
        <v>100.3</v>
      </c>
      <c r="E8">
        <v>145.80000000000001</v>
      </c>
      <c r="F8">
        <v>190.9</v>
      </c>
      <c r="G8">
        <v>254.8</v>
      </c>
      <c r="H8">
        <v>291</v>
      </c>
      <c r="I8">
        <v>351.7</v>
      </c>
      <c r="J8">
        <v>385.8</v>
      </c>
      <c r="K8">
        <v>431.2</v>
      </c>
      <c r="L8">
        <v>476.3</v>
      </c>
    </row>
    <row r="9" spans="2:13">
      <c r="B9" s="5" t="s">
        <v>5</v>
      </c>
      <c r="C9" s="6" t="s">
        <v>6</v>
      </c>
      <c r="D9" s="5">
        <v>5.1244025214163544</v>
      </c>
      <c r="E9" s="5">
        <v>10.080051225552756</v>
      </c>
      <c r="F9" s="5">
        <v>14.870300767382233</v>
      </c>
      <c r="G9" s="5">
        <v>19.983964452344466</v>
      </c>
      <c r="H9" s="5">
        <v>24.915464128190223</v>
      </c>
      <c r="I9" s="5">
        <v>29.852588815320519</v>
      </c>
      <c r="J9" s="5">
        <v>35.099331500252198</v>
      </c>
      <c r="K9" s="5">
        <v>39.979784980014941</v>
      </c>
      <c r="L9" s="5">
        <v>45.140429048917767</v>
      </c>
      <c r="M9" s="2"/>
    </row>
    <row r="10" spans="2:13">
      <c r="B10" s="5" t="s">
        <v>7</v>
      </c>
      <c r="C10" s="6" t="s">
        <v>6</v>
      </c>
      <c r="D10" s="9">
        <v>4.873562501488965E-5</v>
      </c>
      <c r="E10" s="9">
        <v>4.8735625014889623E-5</v>
      </c>
      <c r="F10" s="9">
        <v>4.8735625014889623E-5</v>
      </c>
      <c r="G10" s="9">
        <v>4.8735625014889663E-5</v>
      </c>
      <c r="H10" s="9">
        <v>4.8735625014889623E-5</v>
      </c>
      <c r="I10" s="9">
        <v>4.8735625014889623E-5</v>
      </c>
      <c r="J10" s="9">
        <v>4.8735625014889596E-5</v>
      </c>
      <c r="K10" s="9">
        <v>4.8735625014889629E-5</v>
      </c>
      <c r="L10" s="9">
        <v>4.8735625014889629E-5</v>
      </c>
      <c r="M10" s="4"/>
    </row>
    <row r="11" spans="2:13">
      <c r="B11" t="s">
        <v>8</v>
      </c>
      <c r="C11" s="1" t="s">
        <v>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3">
      <c r="B12" s="7" t="s">
        <v>9</v>
      </c>
      <c r="C12" s="8" t="s">
        <v>6</v>
      </c>
      <c r="D12" s="7">
        <v>1.1844010140968566</v>
      </c>
      <c r="E12" s="7">
        <v>1.1848106982549822</v>
      </c>
      <c r="F12" s="7">
        <v>1.1846310588855258</v>
      </c>
      <c r="G12" s="7">
        <v>1.1835669755353309</v>
      </c>
      <c r="H12" s="7">
        <v>1.1825279142275942</v>
      </c>
      <c r="I12" s="7">
        <v>1.179584004261959</v>
      </c>
      <c r="J12" s="7">
        <v>1.1777800294798222</v>
      </c>
      <c r="K12" s="7">
        <v>1.1779416345727158</v>
      </c>
      <c r="L12" s="7">
        <v>1.1770043146078235</v>
      </c>
    </row>
    <row r="13" spans="2:13">
      <c r="B13" t="s">
        <v>10</v>
      </c>
      <c r="C13" s="1" t="s">
        <v>6</v>
      </c>
      <c r="D13">
        <v>1008.5248092682124</v>
      </c>
      <c r="E13">
        <v>1008.458609580994</v>
      </c>
      <c r="F13">
        <v>1008.4158289909362</v>
      </c>
      <c r="G13">
        <v>1008.4189835838656</v>
      </c>
      <c r="H13">
        <v>1008.4481828689577</v>
      </c>
      <c r="I13">
        <v>1008.4357193946839</v>
      </c>
      <c r="J13">
        <v>1008.395724961924</v>
      </c>
      <c r="K13">
        <v>1008.3919008572893</v>
      </c>
      <c r="L13">
        <v>1008.4331610517679</v>
      </c>
      <c r="M13" s="10" t="s">
        <v>36</v>
      </c>
    </row>
    <row r="14" spans="2:13">
      <c r="B14" t="s">
        <v>11</v>
      </c>
      <c r="C14" s="1" t="s">
        <v>6</v>
      </c>
      <c r="D14">
        <v>23.490378945873601</v>
      </c>
      <c r="E14">
        <v>23.368342391812064</v>
      </c>
      <c r="F14">
        <v>23.400724411010742</v>
      </c>
      <c r="G14">
        <v>23.668266892087615</v>
      </c>
      <c r="H14">
        <v>23.93767786026001</v>
      </c>
      <c r="I14">
        <v>24.675443792343117</v>
      </c>
      <c r="J14">
        <v>25.119786178233994</v>
      </c>
      <c r="K14">
        <v>25.077733615592649</v>
      </c>
      <c r="L14">
        <v>25.327443990167581</v>
      </c>
    </row>
    <row r="15" spans="2:13">
      <c r="B15" t="s">
        <v>12</v>
      </c>
      <c r="C15" s="1" t="s">
        <v>6</v>
      </c>
      <c r="D15">
        <v>20.083729900083199</v>
      </c>
      <c r="E15">
        <v>20.086506000343604</v>
      </c>
      <c r="F15">
        <v>20.067015659809101</v>
      </c>
      <c r="G15">
        <v>20.05392504498576</v>
      </c>
      <c r="H15">
        <v>20.047430360317207</v>
      </c>
      <c r="I15">
        <v>20.015233409404743</v>
      </c>
      <c r="J15">
        <v>20.00178416052529</v>
      </c>
      <c r="K15">
        <v>19.988890796679016</v>
      </c>
      <c r="L15">
        <v>19.97351392440072</v>
      </c>
    </row>
    <row r="16" spans="2:13">
      <c r="B16" t="s">
        <v>13</v>
      </c>
      <c r="C16" s="1" t="s">
        <v>6</v>
      </c>
      <c r="D16">
        <v>1.8439615157834947E-5</v>
      </c>
      <c r="E16">
        <v>1.8434733695672491E-5</v>
      </c>
      <c r="F16">
        <v>1.8436028976440436E-5</v>
      </c>
      <c r="G16">
        <v>1.8446730675683511E-5</v>
      </c>
      <c r="H16">
        <v>1.8457507114410397E-5</v>
      </c>
      <c r="I16">
        <v>1.8487017751693728E-5</v>
      </c>
      <c r="J16">
        <v>1.8504791447129365E-5</v>
      </c>
      <c r="K16">
        <v>1.8503109344623707E-5</v>
      </c>
      <c r="L16">
        <v>1.8513097759606702E-5</v>
      </c>
    </row>
    <row r="17" spans="2:13">
      <c r="B17" s="5" t="s">
        <v>15</v>
      </c>
      <c r="C17" s="6" t="s">
        <v>6</v>
      </c>
      <c r="D17" s="5">
        <v>0.34859093259872825</v>
      </c>
      <c r="E17" s="5">
        <v>1.3684017548284495</v>
      </c>
      <c r="F17" s="5">
        <v>3.0279985485914107</v>
      </c>
      <c r="G17" s="5">
        <v>5.497096385485472</v>
      </c>
      <c r="H17" s="5">
        <v>8.5643009603324547</v>
      </c>
      <c r="I17" s="5">
        <v>12.425204295782551</v>
      </c>
      <c r="J17" s="5">
        <v>17.337032223553809</v>
      </c>
      <c r="K17" s="5">
        <v>22.855990247731366</v>
      </c>
      <c r="L17" s="5">
        <v>29.233499366100194</v>
      </c>
      <c r="M17" s="2"/>
    </row>
    <row r="18" spans="2:13">
      <c r="B18" s="5" t="s">
        <v>16</v>
      </c>
      <c r="C18" s="6" t="s">
        <v>6</v>
      </c>
      <c r="D18" s="5">
        <v>2.6327417003201282E-2</v>
      </c>
      <c r="E18" s="5">
        <v>2.963451241168635E-2</v>
      </c>
      <c r="F18" s="5">
        <v>3.2725923301397057E-2</v>
      </c>
      <c r="G18" s="5">
        <v>6.9220530300952279E-2</v>
      </c>
      <c r="H18" s="5">
        <v>0.11502299924431039</v>
      </c>
      <c r="I18" s="5">
        <v>-1.7207112512870558E-3</v>
      </c>
      <c r="J18" s="5">
        <v>-0.10199651763428852</v>
      </c>
      <c r="K18" s="5">
        <v>-0.10976003055669756</v>
      </c>
      <c r="L18" s="5">
        <v>-9.859618755144918E-2</v>
      </c>
      <c r="M18" s="2"/>
    </row>
    <row r="19" spans="2:13">
      <c r="B19" s="5" t="s">
        <v>17</v>
      </c>
      <c r="C19" s="6" t="s">
        <v>6</v>
      </c>
      <c r="D19" s="5">
        <v>-0.28369890717118695</v>
      </c>
      <c r="E19" s="5">
        <v>-1.2360232921342098</v>
      </c>
      <c r="F19" s="5">
        <v>-2.8609460977319134</v>
      </c>
      <c r="G19" s="5">
        <v>-5.2617288645127678</v>
      </c>
      <c r="H19" s="5">
        <v>-8.340220685240098</v>
      </c>
      <c r="I19" s="5">
        <v>-12.046185318922786</v>
      </c>
      <c r="J19" s="5">
        <v>-16.881510425057954</v>
      </c>
      <c r="K19" s="5">
        <v>-22.127749968246384</v>
      </c>
      <c r="L19" s="5">
        <v>-28.723564261812133</v>
      </c>
      <c r="M19" s="2"/>
    </row>
    <row r="20" spans="2:13">
      <c r="B20" t="s">
        <v>18</v>
      </c>
      <c r="C20" s="1" t="s">
        <v>6</v>
      </c>
      <c r="D20">
        <v>1.1088606353673329E-2</v>
      </c>
      <c r="E20">
        <v>2.2270229538643434E-2</v>
      </c>
      <c r="F20">
        <v>2.9055303143391876E-2</v>
      </c>
      <c r="G20">
        <v>7.6643289858130709E-2</v>
      </c>
      <c r="H20">
        <v>0.13656445088771205</v>
      </c>
      <c r="I20">
        <v>-1.5683515868602289E-2</v>
      </c>
      <c r="J20">
        <v>-0.15443016103633109</v>
      </c>
      <c r="K20">
        <v>-0.15836753593171995</v>
      </c>
      <c r="L20">
        <v>-0.11943087697369492</v>
      </c>
    </row>
    <row r="21" spans="2:13">
      <c r="B21" t="s">
        <v>19</v>
      </c>
      <c r="C21" s="1" t="s">
        <v>6</v>
      </c>
      <c r="D21">
        <v>-0.44997189245312746</v>
      </c>
      <c r="E21">
        <v>-1.7232870056529734</v>
      </c>
      <c r="F21">
        <v>-3.7968677070497638</v>
      </c>
      <c r="G21">
        <v>-6.900920423461149</v>
      </c>
      <c r="H21">
        <v>-10.779734033509829</v>
      </c>
      <c r="I21">
        <v>-15.683811389892094</v>
      </c>
      <c r="J21">
        <v>-21.964738832325295</v>
      </c>
      <c r="K21">
        <v>-29.087762183297563</v>
      </c>
      <c r="L21">
        <v>-37.282953544707759</v>
      </c>
    </row>
    <row r="22" spans="2:13">
      <c r="B22" t="s">
        <v>20</v>
      </c>
      <c r="C22" s="1" t="s">
        <v>6</v>
      </c>
      <c r="D22">
        <v>8.0028566409597046E-3</v>
      </c>
      <c r="E22">
        <v>1.0434467619207025E-2</v>
      </c>
      <c r="F22">
        <v>1.4497256186488795E-2</v>
      </c>
      <c r="G22">
        <v>2.1158220062882916E-2</v>
      </c>
      <c r="H22">
        <v>1.3759586299361845E-2</v>
      </c>
      <c r="I22">
        <v>-2.3300596337884255E-2</v>
      </c>
      <c r="J22">
        <v>-3.9215374630533421E-2</v>
      </c>
      <c r="K22">
        <v>-2.755081548754354E-2</v>
      </c>
      <c r="L22">
        <v>-2.7753024250121973E-2</v>
      </c>
    </row>
    <row r="23" spans="2:13">
      <c r="B23" t="s">
        <v>21</v>
      </c>
      <c r="C23" s="1" t="s">
        <v>6</v>
      </c>
      <c r="D23">
        <v>0.34859091020457711</v>
      </c>
      <c r="E23">
        <v>1.3684017296209232</v>
      </c>
      <c r="F23">
        <v>3.0279985207537394</v>
      </c>
      <c r="G23">
        <v>5.4970963266047042</v>
      </c>
      <c r="H23">
        <v>8.564300862491125</v>
      </c>
      <c r="I23">
        <v>12.425204297241695</v>
      </c>
      <c r="J23">
        <v>17.337032310305489</v>
      </c>
      <c r="K23">
        <v>22.855990341084649</v>
      </c>
      <c r="L23">
        <v>29.233499449955243</v>
      </c>
    </row>
    <row r="24" spans="2:13">
      <c r="B24" t="s">
        <v>22</v>
      </c>
      <c r="C24" s="1" t="s">
        <v>6</v>
      </c>
      <c r="D24">
        <v>2.6327713513634908E-2</v>
      </c>
      <c r="E24">
        <v>2.9635676370266668E-2</v>
      </c>
      <c r="F24">
        <v>3.2728498908228577E-2</v>
      </c>
      <c r="G24">
        <v>6.9225206115278506E-2</v>
      </c>
      <c r="H24">
        <v>0.11503028401399645</v>
      </c>
      <c r="I24">
        <v>-1.7101424083029019E-3</v>
      </c>
      <c r="J24">
        <v>-0.1019817708045811</v>
      </c>
      <c r="K24">
        <v>-0.10974058931718923</v>
      </c>
      <c r="L24">
        <v>-9.8571321621059041E-2</v>
      </c>
    </row>
    <row r="25" spans="2:13">
      <c r="B25" t="s">
        <v>23</v>
      </c>
      <c r="C25" s="1" t="s">
        <v>6</v>
      </c>
      <c r="D25">
        <v>-0.28369890717118695</v>
      </c>
      <c r="E25">
        <v>-1.2360232921342098</v>
      </c>
      <c r="F25">
        <v>-2.8609460977319134</v>
      </c>
      <c r="G25">
        <v>-5.2617288645127678</v>
      </c>
      <c r="H25">
        <v>-8.340220685240098</v>
      </c>
      <c r="I25">
        <v>-12.046185318922786</v>
      </c>
      <c r="J25">
        <v>-16.881510425057954</v>
      </c>
      <c r="K25">
        <v>-22.127749968246384</v>
      </c>
      <c r="L25">
        <v>-28.723564261812133</v>
      </c>
    </row>
    <row r="26" spans="2:13">
      <c r="B26" s="5" t="s">
        <v>24</v>
      </c>
      <c r="C26" s="6" t="s">
        <v>6</v>
      </c>
      <c r="D26" s="5">
        <v>-1.7608218631397152E-2</v>
      </c>
      <c r="E26" s="5">
        <v>-1.0031191881992134E-2</v>
      </c>
      <c r="F26" s="5">
        <v>-6.615531061852949E-3</v>
      </c>
      <c r="G26" s="5">
        <v>1.1936850954836799E-3</v>
      </c>
      <c r="H26" s="5">
        <v>1.1190610523124653E-2</v>
      </c>
      <c r="I26" s="5">
        <v>-1.3806120038755009E-2</v>
      </c>
      <c r="J26" s="5">
        <v>-4.3251347715699918E-2</v>
      </c>
      <c r="K26" s="5">
        <v>-3.8725551609199819E-2</v>
      </c>
      <c r="L26" s="5">
        <v>-1.1956423633804848E-2</v>
      </c>
      <c r="M26" s="2"/>
    </row>
    <row r="27" spans="2:13">
      <c r="B27" s="5" t="s">
        <v>25</v>
      </c>
      <c r="C27" s="6" t="s">
        <v>6</v>
      </c>
      <c r="D27" s="5">
        <v>-7.0007790898038727E-2</v>
      </c>
      <c r="E27" s="5">
        <v>-0.23172910142255085</v>
      </c>
      <c r="F27" s="5">
        <v>-0.49634929471245609</v>
      </c>
      <c r="G27" s="5">
        <v>-0.90908536226696202</v>
      </c>
      <c r="H27" s="5">
        <v>-1.4446459772292768</v>
      </c>
      <c r="I27" s="5">
        <v>-2.1403387192333265</v>
      </c>
      <c r="J27" s="5">
        <v>-3.0673737454422216</v>
      </c>
      <c r="K27" s="5">
        <v>-4.1747328462117252</v>
      </c>
      <c r="L27" s="5">
        <v>-5.4184392458306192</v>
      </c>
      <c r="M27" s="2"/>
    </row>
    <row r="28" spans="2:13">
      <c r="B28" s="5" t="s">
        <v>26</v>
      </c>
      <c r="C28" s="6" t="s">
        <v>6</v>
      </c>
      <c r="D28" s="5">
        <v>8.0028566409597046E-3</v>
      </c>
      <c r="E28" s="5">
        <v>1.0434467619207025E-2</v>
      </c>
      <c r="F28" s="5">
        <v>1.4497256186488795E-2</v>
      </c>
      <c r="G28" s="5">
        <v>2.1158220062882916E-2</v>
      </c>
      <c r="H28" s="5">
        <v>1.3759586299361845E-2</v>
      </c>
      <c r="I28" s="5">
        <v>-2.3300596337884255E-2</v>
      </c>
      <c r="J28" s="5">
        <v>-3.9215374630533421E-2</v>
      </c>
      <c r="K28" s="5">
        <v>-2.755081548754354E-2</v>
      </c>
      <c r="L28" s="5">
        <v>-2.7753024250121973E-2</v>
      </c>
      <c r="M28" s="2"/>
    </row>
    <row r="33" spans="2:12">
      <c r="B33" s="7" t="s">
        <v>37</v>
      </c>
      <c r="C33" s="7"/>
      <c r="D33" s="7">
        <f t="shared" ref="D33:L33" si="0">D12*D9*0.61/D16</f>
        <v>200779.78686342447</v>
      </c>
      <c r="E33" s="7">
        <f t="shared" si="0"/>
        <v>395188.84103088529</v>
      </c>
      <c r="F33" s="7">
        <f t="shared" si="0"/>
        <v>582861.43407445389</v>
      </c>
      <c r="G33" s="7">
        <f t="shared" si="0"/>
        <v>782140.75312107895</v>
      </c>
      <c r="H33" s="7">
        <f t="shared" si="0"/>
        <v>973726.91249059059</v>
      </c>
      <c r="I33" s="7">
        <f t="shared" si="0"/>
        <v>1161913.6413699053</v>
      </c>
      <c r="J33" s="7">
        <f t="shared" si="0"/>
        <v>1362726.4053416951</v>
      </c>
      <c r="K33" s="7">
        <f t="shared" si="0"/>
        <v>1552563.4075428511</v>
      </c>
      <c r="L33" s="7">
        <f t="shared" si="0"/>
        <v>1750630.4493539007</v>
      </c>
    </row>
    <row r="34" spans="2:12">
      <c r="B34" s="5" t="s">
        <v>38</v>
      </c>
      <c r="C34" s="6" t="s">
        <v>6</v>
      </c>
      <c r="D34" s="5">
        <v>0.34859093259872825</v>
      </c>
      <c r="E34" s="5">
        <v>1.3684017548284495</v>
      </c>
      <c r="F34" s="5">
        <v>3.0279985485914107</v>
      </c>
      <c r="G34" s="5">
        <v>5.497096385485472</v>
      </c>
      <c r="H34" s="5">
        <v>8.5643009603324547</v>
      </c>
      <c r="I34" s="5">
        <v>12.425204295782551</v>
      </c>
      <c r="J34" s="5">
        <v>17.337032223553809</v>
      </c>
      <c r="K34" s="5">
        <v>22.855990247731366</v>
      </c>
      <c r="L34" s="5">
        <v>29.233499366100194</v>
      </c>
    </row>
    <row r="36" spans="2:12">
      <c r="B36" s="7" t="s">
        <v>30</v>
      </c>
      <c r="C36" s="7"/>
      <c r="D36" s="7">
        <f>D21/(0.5*D12*(D9*D9)*0.042*0.32)</f>
        <v>-2.1529347632411429</v>
      </c>
      <c r="E36" s="7">
        <f t="shared" ref="E36:L36" si="1">E21/(0.5*E12*(E9*E9)*0.042*0.32)</f>
        <v>-2.130168189391092</v>
      </c>
      <c r="F36" s="7">
        <f t="shared" si="1"/>
        <v>-2.1569176891569386</v>
      </c>
      <c r="G36" s="7">
        <f t="shared" si="1"/>
        <v>-2.1726091819599826</v>
      </c>
      <c r="H36" s="7">
        <f t="shared" si="1"/>
        <v>-2.1851910245323798</v>
      </c>
      <c r="I36" s="7">
        <f t="shared" si="1"/>
        <v>-2.2201865380165806</v>
      </c>
      <c r="J36" s="7">
        <f t="shared" si="1"/>
        <v>-2.2526560948735801</v>
      </c>
      <c r="K36" s="7">
        <f t="shared" si="1"/>
        <v>-2.2989861631055226</v>
      </c>
      <c r="L36" s="7">
        <f t="shared" si="1"/>
        <v>-2.3132981821161254</v>
      </c>
    </row>
    <row r="37" spans="2:12">
      <c r="B37" s="7" t="s">
        <v>31</v>
      </c>
      <c r="C37" s="7"/>
      <c r="D37" s="7">
        <f>D19/(0.5*D12*(D9*D9)*0.042)</f>
        <v>-0.43436330120090388</v>
      </c>
      <c r="E37" s="7">
        <f t="shared" ref="E37:L37" si="2">E19/(0.5*E12*(E9*E9)*0.042)</f>
        <v>-0.48891449693313899</v>
      </c>
      <c r="F37" s="7">
        <f t="shared" si="2"/>
        <v>-0.5200771349048513</v>
      </c>
      <c r="G37" s="7">
        <f t="shared" si="2"/>
        <v>-0.53009417840135675</v>
      </c>
      <c r="H37" s="7">
        <f t="shared" si="2"/>
        <v>-0.54101447259761737</v>
      </c>
      <c r="I37" s="7">
        <f t="shared" si="2"/>
        <v>-0.54567916564998886</v>
      </c>
      <c r="J37" s="7">
        <f t="shared" si="2"/>
        <v>-0.55402597976663048</v>
      </c>
      <c r="K37" s="7">
        <f t="shared" si="2"/>
        <v>-0.55964584063457867</v>
      </c>
      <c r="L37" s="7">
        <f t="shared" si="2"/>
        <v>-0.57030819866621973</v>
      </c>
    </row>
    <row r="38" spans="2:12">
      <c r="B38" s="7" t="s">
        <v>32</v>
      </c>
      <c r="C38" s="7"/>
      <c r="D38" s="7">
        <f>D17/(0.5*D12*(D9*D9)*0.042)</f>
        <v>0.53371762958861124</v>
      </c>
      <c r="E38" s="7">
        <f t="shared" ref="E38:L38" si="3">E17/(0.5*E12*(E9*E9)*0.042)</f>
        <v>0.54127738516090296</v>
      </c>
      <c r="F38" s="7">
        <f t="shared" si="3"/>
        <v>0.5504447675179639</v>
      </c>
      <c r="G38" s="7">
        <f t="shared" si="3"/>
        <v>0.55380633762983167</v>
      </c>
      <c r="H38" s="7">
        <f t="shared" si="3"/>
        <v>0.55555013974886736</v>
      </c>
      <c r="I38" s="7">
        <f t="shared" si="3"/>
        <v>0.56284831535030611</v>
      </c>
      <c r="J38" s="7">
        <f t="shared" si="3"/>
        <v>0.56897552541523067</v>
      </c>
      <c r="K38" s="7">
        <f t="shared" si="3"/>
        <v>0.57806419062412495</v>
      </c>
      <c r="L38" s="7">
        <f t="shared" si="3"/>
        <v>0.58043299265461201</v>
      </c>
    </row>
    <row r="41" spans="2:12" ht="15" customHeight="1">
      <c r="B41" s="35" t="s">
        <v>33</v>
      </c>
      <c r="C41" s="35"/>
      <c r="D41" s="30">
        <v>0.14267574</v>
      </c>
      <c r="E41" s="30">
        <v>0.60868478999999998</v>
      </c>
      <c r="F41" s="30">
        <v>1.40149791</v>
      </c>
      <c r="G41" s="30">
        <v>2.58570959</v>
      </c>
      <c r="H41" s="30">
        <v>4.0620816900000003</v>
      </c>
      <c r="I41" s="30">
        <v>5.9844073399999997</v>
      </c>
      <c r="J41" s="30">
        <v>8.4567169500000006</v>
      </c>
      <c r="K41" s="30">
        <v>11.3555463</v>
      </c>
      <c r="L41" s="30">
        <v>14.594591599999999</v>
      </c>
    </row>
    <row r="42" spans="2:12" ht="16.5">
      <c r="B42" s="30" t="s">
        <v>39</v>
      </c>
      <c r="C42" s="30" t="s">
        <v>34</v>
      </c>
      <c r="D42" s="34">
        <v>0.21844675999999999</v>
      </c>
      <c r="E42" s="34">
        <v>0.24076797</v>
      </c>
      <c r="F42" s="34">
        <v>0.25477132000000002</v>
      </c>
      <c r="G42" s="34">
        <v>0.26049794999999998</v>
      </c>
      <c r="H42" s="34">
        <v>0.26349961999999999</v>
      </c>
      <c r="I42" s="34">
        <v>0.27108717999999998</v>
      </c>
      <c r="J42" s="34">
        <v>0.27753683000000001</v>
      </c>
      <c r="K42" s="34">
        <v>0.28719974999999998</v>
      </c>
      <c r="L42" s="34">
        <v>0.28977655000000002</v>
      </c>
    </row>
  </sheetData>
  <mergeCells count="1">
    <mergeCell ref="B41:C4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704E7-48BE-4757-9DBE-0EFCF936AA08}">
  <dimension ref="B3:L42"/>
  <sheetViews>
    <sheetView tabSelected="1" topLeftCell="A29" workbookViewId="0">
      <selection activeCell="D37" sqref="D37"/>
    </sheetView>
  </sheetViews>
  <sheetFormatPr defaultRowHeight="15"/>
  <cols>
    <col min="2" max="2" width="39.42578125" customWidth="1"/>
    <col min="4" max="4" width="17.7109375" customWidth="1"/>
    <col min="5" max="5" width="15.42578125" customWidth="1"/>
    <col min="6" max="6" width="17" customWidth="1"/>
    <col min="7" max="7" width="21" customWidth="1"/>
    <col min="8" max="8" width="17.5703125" customWidth="1"/>
    <col min="9" max="9" width="17.85546875" customWidth="1"/>
    <col min="10" max="10" width="17.140625" customWidth="1"/>
    <col min="11" max="11" width="16.42578125" customWidth="1"/>
    <col min="12" max="12" width="16.85546875" customWidth="1"/>
  </cols>
  <sheetData>
    <row r="3" spans="2:12">
      <c r="B3" t="s">
        <v>0</v>
      </c>
      <c r="C3" s="1"/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</row>
    <row r="4" spans="2:12">
      <c r="B4" t="s">
        <v>1</v>
      </c>
      <c r="C4" s="1"/>
      <c r="D4">
        <v>289.8</v>
      </c>
      <c r="E4">
        <v>289.8</v>
      </c>
      <c r="F4">
        <v>289.8</v>
      </c>
      <c r="G4">
        <v>289.8</v>
      </c>
      <c r="H4">
        <v>289.8</v>
      </c>
      <c r="I4">
        <v>289.8</v>
      </c>
      <c r="J4">
        <v>289.8</v>
      </c>
      <c r="K4">
        <v>289.8</v>
      </c>
      <c r="L4">
        <v>289.8</v>
      </c>
    </row>
    <row r="5" spans="2:12">
      <c r="B5" t="s">
        <v>2</v>
      </c>
      <c r="C5" s="1" t="s">
        <v>3</v>
      </c>
      <c r="D5">
        <v>62.2</v>
      </c>
      <c r="E5">
        <v>91.4</v>
      </c>
      <c r="F5">
        <v>126.8</v>
      </c>
      <c r="G5">
        <v>148.1</v>
      </c>
      <c r="H5">
        <v>173</v>
      </c>
      <c r="I5">
        <v>197.8</v>
      </c>
      <c r="J5">
        <v>223</v>
      </c>
      <c r="K5">
        <v>250.9</v>
      </c>
      <c r="L5">
        <v>272.5</v>
      </c>
    </row>
    <row r="6" spans="2:12">
      <c r="B6" t="s">
        <v>0</v>
      </c>
      <c r="C6" s="1"/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</row>
    <row r="7" spans="2:12">
      <c r="B7" t="s">
        <v>1</v>
      </c>
      <c r="C7" s="1"/>
      <c r="D7">
        <v>289.8</v>
      </c>
      <c r="E7">
        <v>289.8</v>
      </c>
      <c r="F7">
        <v>289.8</v>
      </c>
      <c r="G7">
        <v>289.8</v>
      </c>
      <c r="H7">
        <v>289.8</v>
      </c>
      <c r="I7">
        <v>289.8</v>
      </c>
      <c r="J7">
        <v>289.8</v>
      </c>
      <c r="K7">
        <v>289.8</v>
      </c>
      <c r="L7">
        <v>289.8</v>
      </c>
    </row>
    <row r="8" spans="2:12">
      <c r="B8" t="s">
        <v>4</v>
      </c>
      <c r="C8" s="1" t="s">
        <v>3</v>
      </c>
      <c r="D8">
        <v>68.5</v>
      </c>
      <c r="E8">
        <v>97.8</v>
      </c>
      <c r="F8">
        <v>133.19999999999999</v>
      </c>
      <c r="G8">
        <v>155</v>
      </c>
      <c r="H8">
        <v>179.4</v>
      </c>
      <c r="I8">
        <v>204.2</v>
      </c>
      <c r="J8">
        <v>229.4</v>
      </c>
      <c r="K8">
        <v>257.2</v>
      </c>
      <c r="L8">
        <v>278.8</v>
      </c>
    </row>
    <row r="9" spans="2:12">
      <c r="B9" s="5" t="s">
        <v>5</v>
      </c>
      <c r="C9" s="6" t="s">
        <v>6</v>
      </c>
      <c r="D9" s="5">
        <v>4.9966934792310651</v>
      </c>
      <c r="E9" s="5">
        <v>10.115833207432201</v>
      </c>
      <c r="F9" s="5">
        <v>14.924727922252622</v>
      </c>
      <c r="G9" s="5">
        <v>19.819044562798226</v>
      </c>
      <c r="H9" s="5">
        <v>24.987968733109351</v>
      </c>
      <c r="I9" s="5">
        <v>29.874713165194663</v>
      </c>
      <c r="J9" s="5">
        <v>34.949836469565106</v>
      </c>
      <c r="K9" s="5">
        <v>40.228116317705933</v>
      </c>
      <c r="L9" s="5">
        <v>45.281723613375576</v>
      </c>
    </row>
    <row r="10" spans="2:12">
      <c r="B10" s="2" t="s">
        <v>7</v>
      </c>
      <c r="C10" s="3" t="s">
        <v>6</v>
      </c>
      <c r="D10" s="4">
        <v>6.9622321449842349E-5</v>
      </c>
      <c r="E10" s="4">
        <v>6.9622321449842349E-5</v>
      </c>
      <c r="F10" s="4">
        <v>6.9622321449842349E-5</v>
      </c>
      <c r="G10" s="4">
        <v>6.9622321449842349E-5</v>
      </c>
      <c r="H10" s="4">
        <v>6.9622321449842349E-5</v>
      </c>
      <c r="I10" s="4">
        <v>6.9622321449842349E-5</v>
      </c>
      <c r="J10" s="4">
        <v>6.9622321449842349E-5</v>
      </c>
      <c r="K10" s="4">
        <v>6.9622321449842349E-5</v>
      </c>
      <c r="L10" s="4">
        <v>6.9622321449842349E-5</v>
      </c>
    </row>
    <row r="11" spans="2:12">
      <c r="B11" t="s">
        <v>8</v>
      </c>
      <c r="C11" s="1" t="s">
        <v>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2">
      <c r="B12" s="7" t="s">
        <v>9</v>
      </c>
      <c r="C12" s="8" t="s">
        <v>6</v>
      </c>
      <c r="D12" s="7">
        <v>1.1856619055701649</v>
      </c>
      <c r="E12" s="7">
        <v>1.1859783709267124</v>
      </c>
      <c r="F12" s="7">
        <v>1.1859629586331055</v>
      </c>
      <c r="G12" s="7">
        <v>1.1856058787597967</v>
      </c>
      <c r="H12" s="7">
        <v>1.1846762637887329</v>
      </c>
      <c r="I12" s="7">
        <v>1.1833403678847667</v>
      </c>
      <c r="J12" s="7">
        <v>1.1822242489690458</v>
      </c>
      <c r="K12" s="7">
        <v>1.1829155232958759</v>
      </c>
      <c r="L12" s="7">
        <v>1.1823987705150028</v>
      </c>
    </row>
    <row r="13" spans="2:12">
      <c r="B13" t="s">
        <v>10</v>
      </c>
      <c r="C13" s="1" t="s">
        <v>6</v>
      </c>
      <c r="D13">
        <v>1013.7380913325713</v>
      </c>
      <c r="E13">
        <v>1013.7146665900946</v>
      </c>
      <c r="F13">
        <v>1013.706391304731</v>
      </c>
      <c r="G13">
        <v>1013.7150422386503</v>
      </c>
      <c r="H13">
        <v>1013.7209599465133</v>
      </c>
      <c r="I13">
        <v>1013.7081595510241</v>
      </c>
      <c r="J13">
        <v>1013.6744032800196</v>
      </c>
      <c r="K13">
        <v>1013.6823138736545</v>
      </c>
      <c r="L13">
        <v>1013.686476662045</v>
      </c>
    </row>
    <row r="14" spans="2:12">
      <c r="B14" t="s">
        <v>11</v>
      </c>
      <c r="C14" s="1" t="s">
        <v>6</v>
      </c>
      <c r="D14">
        <v>24.706684660533085</v>
      </c>
      <c r="E14">
        <v>24.620324076712109</v>
      </c>
      <c r="F14">
        <v>24.621763305366017</v>
      </c>
      <c r="G14">
        <v>24.713987054686584</v>
      </c>
      <c r="H14">
        <v>24.949462825059868</v>
      </c>
      <c r="I14">
        <v>25.282227212190605</v>
      </c>
      <c r="J14">
        <v>25.554021039605118</v>
      </c>
      <c r="K14">
        <v>25.381793055458616</v>
      </c>
      <c r="L14">
        <v>25.51349176982086</v>
      </c>
    </row>
    <row r="15" spans="2:12">
      <c r="B15" t="s">
        <v>12</v>
      </c>
      <c r="C15" s="1" t="s">
        <v>6</v>
      </c>
      <c r="D15">
        <v>21.699174712196168</v>
      </c>
      <c r="E15">
        <v>21.686842544749368</v>
      </c>
      <c r="F15">
        <v>21.698197471722949</v>
      </c>
      <c r="G15">
        <v>21.695046854019154</v>
      </c>
      <c r="H15">
        <v>21.696516564860929</v>
      </c>
      <c r="I15">
        <v>21.692242790758598</v>
      </c>
      <c r="J15">
        <v>21.688541221246112</v>
      </c>
      <c r="K15">
        <v>21.640753512912283</v>
      </c>
      <c r="L15">
        <v>21.643084830329485</v>
      </c>
    </row>
    <row r="16" spans="2:12">
      <c r="B16" s="7" t="s">
        <v>13</v>
      </c>
      <c r="C16" s="8" t="s">
        <v>6</v>
      </c>
      <c r="D16" s="7">
        <v>1.848826738642132E-5</v>
      </c>
      <c r="E16" s="7">
        <v>1.8484812963068491E-5</v>
      </c>
      <c r="F16" s="7">
        <v>1.8484870532214637E-5</v>
      </c>
      <c r="G16" s="7">
        <v>1.8488559482187457E-5</v>
      </c>
      <c r="H16" s="7">
        <v>1.8497978513002406E-5</v>
      </c>
      <c r="I16" s="7">
        <v>1.8511289088487628E-5</v>
      </c>
      <c r="J16" s="7">
        <v>1.8522160841584209E-5</v>
      </c>
      <c r="K16" s="7">
        <v>1.8515271722218336E-5</v>
      </c>
      <c r="L16" s="7">
        <v>1.8520539670792835E-5</v>
      </c>
    </row>
    <row r="17" spans="2:12">
      <c r="B17" s="5" t="s">
        <v>15</v>
      </c>
      <c r="C17" s="6" t="s">
        <v>6</v>
      </c>
      <c r="D17" s="5">
        <v>0.32663924642454123</v>
      </c>
      <c r="E17" s="5">
        <v>1.2451037343162072</v>
      </c>
      <c r="F17" s="5">
        <v>2.7910523871758119</v>
      </c>
      <c r="G17" s="5">
        <v>5.026919627109522</v>
      </c>
      <c r="H17" s="5">
        <v>8.349031127523272</v>
      </c>
      <c r="I17" s="5">
        <v>12.278123630664208</v>
      </c>
      <c r="J17" s="5">
        <v>17.364330071026384</v>
      </c>
      <c r="K17" s="5">
        <v>23.009857234024341</v>
      </c>
      <c r="L17" s="5">
        <v>29.399978800711786</v>
      </c>
    </row>
    <row r="18" spans="2:12">
      <c r="B18" s="2" t="s">
        <v>16</v>
      </c>
      <c r="C18" s="3" t="s">
        <v>6</v>
      </c>
      <c r="D18" s="2">
        <v>2.4489012783057651E-2</v>
      </c>
      <c r="E18" s="2">
        <v>5.0995359665920094E-2</v>
      </c>
      <c r="F18" s="2">
        <v>0.11363655032989639</v>
      </c>
      <c r="G18" s="2">
        <v>0.18951546144355749</v>
      </c>
      <c r="H18" s="2">
        <v>0.31677897070017574</v>
      </c>
      <c r="I18" s="2">
        <v>0.46918777562855529</v>
      </c>
      <c r="J18" s="2">
        <v>0.56908066771271182</v>
      </c>
      <c r="K18" s="2">
        <v>0.54943879408795282</v>
      </c>
      <c r="L18" s="2">
        <v>0.58149181194843191</v>
      </c>
    </row>
    <row r="19" spans="2:12">
      <c r="B19" s="2" t="s">
        <v>17</v>
      </c>
      <c r="C19" s="3" t="s">
        <v>6</v>
      </c>
      <c r="D19" s="2">
        <v>-0.2053516126788906</v>
      </c>
      <c r="E19" s="2">
        <v>-0.73376992858574841</v>
      </c>
      <c r="F19" s="2">
        <v>-1.7702483715927035</v>
      </c>
      <c r="G19" s="2">
        <v>-3.0802151060500682</v>
      </c>
      <c r="H19" s="2">
        <v>-5.0622201935627196</v>
      </c>
      <c r="I19" s="2">
        <v>-7.337660947690761</v>
      </c>
      <c r="J19" s="2">
        <v>-10.212507555090514</v>
      </c>
      <c r="K19" s="2">
        <v>-13.364872465415397</v>
      </c>
      <c r="L19" s="2">
        <v>-15.415784844683552</v>
      </c>
    </row>
    <row r="20" spans="2:12">
      <c r="B20" t="s">
        <v>18</v>
      </c>
      <c r="C20" s="1" t="s">
        <v>6</v>
      </c>
      <c r="D20">
        <v>3.9559392069774678E-2</v>
      </c>
      <c r="E20">
        <v>8.2118649027171212E-2</v>
      </c>
      <c r="F20">
        <v>0.1685145987162886</v>
      </c>
      <c r="G20">
        <v>0.26996026856896127</v>
      </c>
      <c r="H20">
        <v>0.42805657175693684</v>
      </c>
      <c r="I20">
        <v>0.60013151857891933</v>
      </c>
      <c r="J20">
        <v>0.74508757143246385</v>
      </c>
      <c r="K20">
        <v>0.80547771742334984</v>
      </c>
      <c r="L20">
        <v>0.91852841015111952</v>
      </c>
    </row>
    <row r="21" spans="2:12">
      <c r="B21" t="s">
        <v>19</v>
      </c>
      <c r="C21" s="1" t="s">
        <v>6</v>
      </c>
      <c r="D21">
        <v>-0.43272432451788595</v>
      </c>
      <c r="E21">
        <v>-1.6666404020908805</v>
      </c>
      <c r="F21">
        <v>-3.6939414380074873</v>
      </c>
      <c r="G21">
        <v>-6.6763126448477905</v>
      </c>
      <c r="H21">
        <v>-11.072393917104291</v>
      </c>
      <c r="I21">
        <v>-16.222394640305993</v>
      </c>
      <c r="J21">
        <v>-22.923118983904455</v>
      </c>
      <c r="K21">
        <v>-30.379781541346674</v>
      </c>
      <c r="L21">
        <v>-39.06615954485558</v>
      </c>
    </row>
    <row r="22" spans="2:12">
      <c r="B22" t="s">
        <v>20</v>
      </c>
      <c r="C22" s="1" t="s">
        <v>6</v>
      </c>
      <c r="D22">
        <v>4.471868730881832E-3</v>
      </c>
      <c r="E22">
        <v>1.5526937858962073E-2</v>
      </c>
      <c r="F22">
        <v>2.2775275027319169E-2</v>
      </c>
      <c r="G22">
        <v>2.0457493288306268E-2</v>
      </c>
      <c r="H22">
        <v>-1.3315852430526763E-2</v>
      </c>
      <c r="I22">
        <v>-3.8548738675425416E-2</v>
      </c>
      <c r="J22">
        <v>-8.3688886239604965E-2</v>
      </c>
      <c r="K22">
        <v>-4.1341174203812156E-2</v>
      </c>
      <c r="L22">
        <v>-4.9345435700847665E-2</v>
      </c>
    </row>
    <row r="23" spans="2:12">
      <c r="B23" t="s">
        <v>21</v>
      </c>
      <c r="C23" s="1" t="s">
        <v>6</v>
      </c>
      <c r="D23">
        <v>0.32663921666675172</v>
      </c>
      <c r="E23">
        <v>1.2451036723488511</v>
      </c>
      <c r="F23">
        <v>2.7910522490895753</v>
      </c>
      <c r="G23">
        <v>5.0269193968182346</v>
      </c>
      <c r="H23">
        <v>8.3490307425867041</v>
      </c>
      <c r="I23">
        <v>12.278123060526902</v>
      </c>
      <c r="J23">
        <v>17.364329379501616</v>
      </c>
      <c r="K23">
        <v>23.009856566363005</v>
      </c>
      <c r="L23">
        <v>29.399978094096852</v>
      </c>
    </row>
    <row r="24" spans="2:12">
      <c r="B24" t="s">
        <v>22</v>
      </c>
      <c r="C24" s="1" t="s">
        <v>6</v>
      </c>
      <c r="D24">
        <v>2.4489409695042631E-2</v>
      </c>
      <c r="E24">
        <v>5.0996872639668053E-2</v>
      </c>
      <c r="F24">
        <v>0.11363994184569955</v>
      </c>
      <c r="G24">
        <v>0.18952156984821025</v>
      </c>
      <c r="H24">
        <v>0.31678911593112485</v>
      </c>
      <c r="I24">
        <v>0.46920269525191383</v>
      </c>
      <c r="J24">
        <v>0.56910176778249288</v>
      </c>
      <c r="K24">
        <v>0.54946675425652425</v>
      </c>
      <c r="L24">
        <v>0.58152753700126281</v>
      </c>
    </row>
    <row r="25" spans="2:12">
      <c r="B25" t="s">
        <v>23</v>
      </c>
      <c r="C25" s="1" t="s">
        <v>6</v>
      </c>
      <c r="D25">
        <v>-0.2053516126788906</v>
      </c>
      <c r="E25">
        <v>-0.73376992858574841</v>
      </c>
      <c r="F25">
        <v>-1.7702483715927035</v>
      </c>
      <c r="G25">
        <v>-3.0802151060500682</v>
      </c>
      <c r="H25">
        <v>-5.0622201935627196</v>
      </c>
      <c r="I25">
        <v>-7.337660947690761</v>
      </c>
      <c r="J25">
        <v>-10.212507555090514</v>
      </c>
      <c r="K25">
        <v>-13.364872465415397</v>
      </c>
      <c r="L25">
        <v>-15.415784844683552</v>
      </c>
    </row>
    <row r="26" spans="2:12">
      <c r="B26" s="2" t="s">
        <v>24</v>
      </c>
      <c r="C26" s="3" t="s">
        <v>6</v>
      </c>
      <c r="D26" s="2">
        <v>1.2866461322240402E-2</v>
      </c>
      <c r="E26" s="2">
        <v>2.6534083049194288E-2</v>
      </c>
      <c r="F26" s="2">
        <v>4.4651550755704358E-2</v>
      </c>
      <c r="G26" s="2">
        <v>6.3389870080362287E-2</v>
      </c>
      <c r="H26" s="2">
        <v>8.2769889886512044E-2</v>
      </c>
      <c r="I26" s="2">
        <v>8.8720293214108348E-2</v>
      </c>
      <c r="J26" s="2">
        <v>0.12479449931896565</v>
      </c>
      <c r="K26" s="2">
        <v>0.20659587093267356</v>
      </c>
      <c r="L26" s="2">
        <v>0.28471086562303621</v>
      </c>
    </row>
    <row r="27" spans="2:12">
      <c r="B27" s="2" t="s">
        <v>25</v>
      </c>
      <c r="C27" s="3" t="s">
        <v>6</v>
      </c>
      <c r="D27" s="2">
        <v>-7.6687530280657029E-2</v>
      </c>
      <c r="E27" s="2">
        <v>-0.30947729944385038</v>
      </c>
      <c r="F27" s="2">
        <v>-0.65169428172850608</v>
      </c>
      <c r="G27" s="2">
        <v>-1.1969701742718051</v>
      </c>
      <c r="H27" s="2">
        <v>-1.9719498875284867</v>
      </c>
      <c r="I27" s="2">
        <v>-2.8392397750766345</v>
      </c>
      <c r="J27" s="2">
        <v>-3.9959990548460156</v>
      </c>
      <c r="K27" s="2">
        <v>-5.2990369052213859</v>
      </c>
      <c r="L27" s="2">
        <v>-7.020182306121721</v>
      </c>
    </row>
    <row r="28" spans="2:12">
      <c r="B28" s="2" t="s">
        <v>26</v>
      </c>
      <c r="C28" s="3" t="s">
        <v>6</v>
      </c>
      <c r="D28" s="2">
        <v>4.471868730881832E-3</v>
      </c>
      <c r="E28" s="2">
        <v>1.5526937858962073E-2</v>
      </c>
      <c r="F28" s="2">
        <v>2.2775275027319169E-2</v>
      </c>
      <c r="G28" s="2">
        <v>2.0457493288306268E-2</v>
      </c>
      <c r="H28" s="2">
        <v>-1.3315852430526763E-2</v>
      </c>
      <c r="I28" s="2">
        <v>-3.8548738675425416E-2</v>
      </c>
      <c r="J28" s="2">
        <v>-8.3688886239604965E-2</v>
      </c>
      <c r="K28" s="2">
        <v>-4.1341174203812156E-2</v>
      </c>
      <c r="L28" s="2">
        <v>-4.9345435700847665E-2</v>
      </c>
    </row>
    <row r="32" spans="2:12">
      <c r="B32" s="7" t="s">
        <v>40</v>
      </c>
      <c r="C32" s="7"/>
      <c r="D32" s="7">
        <f>(D12*D9*0.61)/D16</f>
        <v>195468.68740424165</v>
      </c>
      <c r="E32" s="7">
        <f t="shared" ref="D32:L32" si="0">E12*E9*0.61/E16</f>
        <v>395907.02060392394</v>
      </c>
      <c r="F32" s="7">
        <f t="shared" si="0"/>
        <v>584105.06127696496</v>
      </c>
      <c r="G32" s="7">
        <f t="shared" si="0"/>
        <v>775264.3583884167</v>
      </c>
      <c r="H32" s="7">
        <f t="shared" si="0"/>
        <v>976194.16006657272</v>
      </c>
      <c r="I32" s="7">
        <f t="shared" si="0"/>
        <v>1164948.1501802511</v>
      </c>
      <c r="J32" s="7">
        <f t="shared" si="0"/>
        <v>1360765.2023097342</v>
      </c>
      <c r="K32" s="7">
        <f t="shared" si="0"/>
        <v>1567772.9728869302</v>
      </c>
      <c r="L32" s="7">
        <f t="shared" si="0"/>
        <v>1763449.8627019597</v>
      </c>
    </row>
    <row r="33" spans="2:12">
      <c r="B33" s="5" t="s">
        <v>41</v>
      </c>
      <c r="C33" s="6" t="s">
        <v>6</v>
      </c>
      <c r="D33" s="5">
        <v>0.32663924642454123</v>
      </c>
      <c r="E33" s="5">
        <v>1.2451037343162072</v>
      </c>
      <c r="F33" s="5">
        <v>2.7910523871758119</v>
      </c>
      <c r="G33" s="5">
        <v>5.026919627109522</v>
      </c>
      <c r="H33" s="5">
        <v>8.349031127523272</v>
      </c>
      <c r="I33" s="5">
        <v>12.278123630664208</v>
      </c>
      <c r="J33" s="5">
        <v>17.364330071026384</v>
      </c>
      <c r="K33" s="5">
        <v>23.009857234024341</v>
      </c>
      <c r="L33" s="5">
        <v>29.399978800711786</v>
      </c>
    </row>
    <row r="36" spans="2:12">
      <c r="B36" s="7" t="s">
        <v>30</v>
      </c>
      <c r="C36" s="7"/>
      <c r="D36" s="7">
        <f>D21/(0.5*D12*(D9*D9)*0.042*0.32)</f>
        <v>-2.1752829303259369</v>
      </c>
      <c r="E36" s="7">
        <f t="shared" ref="E36:L36" si="1">E21/(0.5*E12*(E9*E9)*0.042*0.32)</f>
        <v>-2.0435842359364149</v>
      </c>
      <c r="F36" s="7">
        <f t="shared" si="1"/>
        <v>-2.0808307770711982</v>
      </c>
      <c r="G36" s="7">
        <f t="shared" si="1"/>
        <v>-2.1333475852077219</v>
      </c>
      <c r="H36" s="7">
        <f t="shared" si="1"/>
        <v>-2.2274638284640709</v>
      </c>
      <c r="I36" s="7">
        <f t="shared" si="1"/>
        <v>-2.2857489065850709</v>
      </c>
      <c r="J36" s="7">
        <f t="shared" si="1"/>
        <v>-2.3621870076043088</v>
      </c>
      <c r="K36" s="7">
        <f t="shared" si="1"/>
        <v>-2.3615777482784743</v>
      </c>
      <c r="L36" s="7">
        <f t="shared" si="1"/>
        <v>-2.3978476029145783</v>
      </c>
    </row>
    <row r="37" spans="2:12">
      <c r="B37" s="7" t="s">
        <v>31</v>
      </c>
      <c r="C37" s="7"/>
      <c r="D37" s="7">
        <f>D19/(0.5*D12*(D9*D9)*0.042)</f>
        <v>-0.33033343953417099</v>
      </c>
      <c r="E37" s="7">
        <f t="shared" ref="E37:L37" si="2">E19/(0.5*E12*(E9*E9)*0.042)</f>
        <v>-0.28791250364137172</v>
      </c>
      <c r="F37" s="7">
        <f t="shared" si="2"/>
        <v>-0.31910303779214833</v>
      </c>
      <c r="G37" s="7">
        <f t="shared" si="2"/>
        <v>-0.31496041880463238</v>
      </c>
      <c r="H37" s="7">
        <f t="shared" si="2"/>
        <v>-0.32588182703182672</v>
      </c>
      <c r="I37" s="7">
        <f t="shared" si="2"/>
        <v>-0.33084241107348178</v>
      </c>
      <c r="J37" s="7">
        <f t="shared" si="2"/>
        <v>-0.33676188904149462</v>
      </c>
      <c r="K37" s="7">
        <f t="shared" si="2"/>
        <v>-0.33245463999086378</v>
      </c>
      <c r="L37" s="7">
        <f t="shared" si="2"/>
        <v>-0.30278647846653994</v>
      </c>
    </row>
    <row r="38" spans="2:12">
      <c r="B38" s="7" t="s">
        <v>32</v>
      </c>
      <c r="C38" s="7"/>
      <c r="D38" s="7">
        <f>D17/(0.5*D12*(D9*D9)*0.042)</f>
        <v>0.5254395831163593</v>
      </c>
      <c r="E38" s="7">
        <f t="shared" ref="E38:L38" si="3">E17/(0.5*E12*(E9*E9)*0.042)</f>
        <v>0.48854677668670421</v>
      </c>
      <c r="F38" s="7">
        <f t="shared" si="3"/>
        <v>0.50311205460029351</v>
      </c>
      <c r="G38" s="7">
        <f t="shared" si="3"/>
        <v>0.51401628020777124</v>
      </c>
      <c r="H38" s="7">
        <f t="shared" si="3"/>
        <v>0.53747119124583498</v>
      </c>
      <c r="I38" s="7">
        <f t="shared" si="3"/>
        <v>0.55359930833348625</v>
      </c>
      <c r="J38" s="7">
        <f t="shared" si="3"/>
        <v>0.57259635453038815</v>
      </c>
      <c r="K38" s="7">
        <f t="shared" si="3"/>
        <v>0.57237611677733069</v>
      </c>
      <c r="L38" s="7">
        <f t="shared" si="3"/>
        <v>0.57745461147431998</v>
      </c>
    </row>
    <row r="41" spans="2:12" ht="15" customHeight="1">
      <c r="B41" s="35" t="s">
        <v>33</v>
      </c>
      <c r="C41" s="35"/>
      <c r="D41" s="30">
        <v>0.13038649999999999</v>
      </c>
      <c r="E41" s="30">
        <v>0.48011999</v>
      </c>
      <c r="F41" s="30">
        <v>1.1528311499999999</v>
      </c>
      <c r="G41" s="30">
        <v>2.1627661100000002</v>
      </c>
      <c r="H41" s="30">
        <v>3.8208469200000001</v>
      </c>
      <c r="I41" s="30">
        <v>5.8278604600000001</v>
      </c>
      <c r="J41" s="30">
        <v>8.5589341000000001</v>
      </c>
      <c r="K41" s="30">
        <v>11.367050900000001</v>
      </c>
      <c r="L41" s="30">
        <v>14.669823299999999</v>
      </c>
    </row>
    <row r="42" spans="2:12" ht="16.5">
      <c r="B42" s="30" t="s">
        <v>42</v>
      </c>
      <c r="C42" s="30" t="s">
        <v>34</v>
      </c>
      <c r="D42" s="34">
        <v>0.20974279000000001</v>
      </c>
      <c r="E42" s="34">
        <v>0.18838677000000001</v>
      </c>
      <c r="F42" s="34">
        <v>0.20780808000000001</v>
      </c>
      <c r="G42" s="34">
        <v>0.22114875000000001</v>
      </c>
      <c r="H42" s="34">
        <v>0.24596808000000001</v>
      </c>
      <c r="I42" s="34">
        <v>0.26276811999999999</v>
      </c>
      <c r="J42" s="34">
        <v>0.28223458000000001</v>
      </c>
      <c r="K42" s="34">
        <v>0.28275831000000001</v>
      </c>
      <c r="L42" s="34">
        <v>0.28813480000000002</v>
      </c>
    </row>
  </sheetData>
  <mergeCells count="1">
    <mergeCell ref="B41:C41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94B44-A473-4CAB-B983-E4C1AF303827}">
  <dimension ref="B3:L42"/>
  <sheetViews>
    <sheetView topLeftCell="A6" workbookViewId="0">
      <selection activeCell="C45" sqref="C45"/>
    </sheetView>
  </sheetViews>
  <sheetFormatPr defaultRowHeight="15"/>
  <cols>
    <col min="2" max="2" width="33.7109375" customWidth="1"/>
    <col min="3" max="3" width="24.85546875" customWidth="1"/>
    <col min="4" max="4" width="25.7109375" customWidth="1"/>
    <col min="5" max="5" width="24.85546875" customWidth="1"/>
    <col min="6" max="6" width="19.7109375" customWidth="1"/>
    <col min="7" max="7" width="19.28515625" customWidth="1"/>
    <col min="8" max="8" width="20.28515625" customWidth="1"/>
    <col min="9" max="9" width="16.85546875" customWidth="1"/>
    <col min="10" max="10" width="14.7109375" customWidth="1"/>
    <col min="11" max="11" width="20.28515625" customWidth="1"/>
    <col min="12" max="12" width="20.140625" customWidth="1"/>
  </cols>
  <sheetData>
    <row r="3" spans="2:12">
      <c r="B3" t="s">
        <v>0</v>
      </c>
      <c r="C3" s="1"/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</row>
    <row r="4" spans="2:12">
      <c r="B4" t="s">
        <v>1</v>
      </c>
      <c r="C4" s="1"/>
      <c r="D4">
        <v>311.10000000000002</v>
      </c>
      <c r="E4">
        <v>311.10000000000002</v>
      </c>
      <c r="F4">
        <v>311.10000000000002</v>
      </c>
      <c r="G4">
        <v>311.10000000000002</v>
      </c>
      <c r="H4">
        <v>311.10000000000002</v>
      </c>
      <c r="I4">
        <v>311.10000000000002</v>
      </c>
      <c r="J4">
        <v>311.10000000000002</v>
      </c>
      <c r="K4">
        <v>311.10000000000002</v>
      </c>
      <c r="L4">
        <v>311.10000000000002</v>
      </c>
    </row>
    <row r="5" spans="2:12">
      <c r="B5" t="s">
        <v>2</v>
      </c>
      <c r="C5" s="1" t="s">
        <v>3</v>
      </c>
      <c r="D5">
        <v>49</v>
      </c>
      <c r="E5">
        <v>78.3</v>
      </c>
      <c r="F5">
        <v>108.3</v>
      </c>
      <c r="G5">
        <v>133.30000000000001</v>
      </c>
      <c r="H5">
        <v>163.19999999999999</v>
      </c>
      <c r="I5">
        <v>198.8</v>
      </c>
      <c r="J5">
        <v>223.1</v>
      </c>
      <c r="K5">
        <v>253.3</v>
      </c>
      <c r="L5">
        <v>283.8</v>
      </c>
    </row>
    <row r="6" spans="2:12">
      <c r="B6" t="s">
        <v>0</v>
      </c>
      <c r="C6" s="1"/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</row>
    <row r="7" spans="2:12">
      <c r="B7" t="s">
        <v>1</v>
      </c>
      <c r="C7" s="1"/>
      <c r="D7">
        <v>311.10000000000002</v>
      </c>
      <c r="E7">
        <v>311.10000000000002</v>
      </c>
      <c r="F7">
        <v>311.10000000000002</v>
      </c>
      <c r="G7">
        <v>311.10000000000002</v>
      </c>
      <c r="H7">
        <v>311.10000000000002</v>
      </c>
      <c r="I7">
        <v>311.10000000000002</v>
      </c>
      <c r="J7">
        <v>311.10000000000002</v>
      </c>
      <c r="K7">
        <v>311.10000000000002</v>
      </c>
      <c r="L7">
        <v>311.10000000000002</v>
      </c>
    </row>
    <row r="8" spans="2:12">
      <c r="B8" t="s">
        <v>4</v>
      </c>
      <c r="C8" s="1" t="s">
        <v>3</v>
      </c>
      <c r="D8">
        <v>55.4</v>
      </c>
      <c r="E8">
        <v>84.7</v>
      </c>
      <c r="F8">
        <v>114.9</v>
      </c>
      <c r="G8">
        <v>139.80000000000001</v>
      </c>
      <c r="H8">
        <v>169.6</v>
      </c>
      <c r="I8">
        <v>205.2</v>
      </c>
      <c r="J8">
        <v>229.6</v>
      </c>
      <c r="K8">
        <v>259.8</v>
      </c>
      <c r="L8">
        <v>290.10000000000002</v>
      </c>
    </row>
    <row r="9" spans="2:12">
      <c r="B9" s="5" t="s">
        <v>5</v>
      </c>
      <c r="C9" s="6" t="s">
        <v>6</v>
      </c>
      <c r="D9" s="5">
        <v>5.0203659225215596</v>
      </c>
      <c r="E9" s="5">
        <v>10.040667317770748</v>
      </c>
      <c r="F9" s="5">
        <v>14.920515230948304</v>
      </c>
      <c r="G9" s="5">
        <v>20.006787632930742</v>
      </c>
      <c r="H9" s="5">
        <v>24.911580158296466</v>
      </c>
      <c r="I9" s="5">
        <v>30.074929579579429</v>
      </c>
      <c r="J9" s="5">
        <v>34.994184125266514</v>
      </c>
      <c r="K9" s="5">
        <v>40.157715982483865</v>
      </c>
      <c r="L9" s="5">
        <v>45.240589852439868</v>
      </c>
    </row>
    <row r="10" spans="2:12">
      <c r="B10" s="2" t="s">
        <v>7</v>
      </c>
      <c r="C10" s="3" t="s">
        <v>6</v>
      </c>
      <c r="D10" s="4">
        <v>1.1139571431974768E-4</v>
      </c>
      <c r="E10" s="4">
        <v>1.1139571431974768E-4</v>
      </c>
      <c r="F10" s="4">
        <v>1.1139571431974768E-4</v>
      </c>
      <c r="G10" s="4">
        <v>1.1139571431974768E-4</v>
      </c>
      <c r="H10" s="4">
        <v>1.1139571431974768E-4</v>
      </c>
      <c r="I10" s="4">
        <v>1.1139571431974768E-4</v>
      </c>
      <c r="J10" s="4">
        <v>1.1139571431974768E-4</v>
      </c>
      <c r="K10" s="4">
        <v>1.1139571431974768E-4</v>
      </c>
      <c r="L10" s="4">
        <v>1.1139571431974768E-4</v>
      </c>
    </row>
    <row r="11" spans="2:12">
      <c r="B11" t="s">
        <v>8</v>
      </c>
      <c r="C11" s="1" t="s">
        <v>6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2">
      <c r="B12" s="7" t="s">
        <v>9</v>
      </c>
      <c r="C12" s="8" t="s">
        <v>6</v>
      </c>
      <c r="D12" s="7">
        <v>1.191639244843558</v>
      </c>
      <c r="E12" s="7">
        <v>1.1918838364423154</v>
      </c>
      <c r="F12" s="7">
        <v>1.1916836453564577</v>
      </c>
      <c r="G12" s="7">
        <v>1.1910617580178218</v>
      </c>
      <c r="H12" s="7">
        <v>1.1899031686410082</v>
      </c>
      <c r="I12" s="7">
        <v>1.1884782214374281</v>
      </c>
      <c r="J12" s="7">
        <v>1.1898657003422863</v>
      </c>
      <c r="K12" s="7">
        <v>1.1900420786417616</v>
      </c>
      <c r="L12" s="7">
        <v>1.1885248862056663</v>
      </c>
    </row>
    <row r="13" spans="2:12">
      <c r="B13" t="s">
        <v>10</v>
      </c>
      <c r="C13" s="1" t="s">
        <v>6</v>
      </c>
      <c r="D13">
        <v>1018.846965581179</v>
      </c>
      <c r="E13">
        <v>1018.8139495998622</v>
      </c>
      <c r="F13">
        <v>1018.7862773375069</v>
      </c>
      <c r="G13">
        <v>1018.7888917189384</v>
      </c>
      <c r="H13">
        <v>1018.7929843366149</v>
      </c>
      <c r="I13">
        <v>1018.7147147953507</v>
      </c>
      <c r="J13">
        <v>1018.6856178136971</v>
      </c>
      <c r="K13">
        <v>1018.6927822553196</v>
      </c>
      <c r="L13">
        <v>1018.6830311729794</v>
      </c>
    </row>
    <row r="14" spans="2:12">
      <c r="B14" t="s">
        <v>11</v>
      </c>
      <c r="C14" s="1" t="s">
        <v>6</v>
      </c>
      <c r="D14">
        <v>24.706176707148529</v>
      </c>
      <c r="E14">
        <v>24.635403083264805</v>
      </c>
      <c r="F14">
        <v>24.677337291023889</v>
      </c>
      <c r="G14">
        <v>24.833606477884132</v>
      </c>
      <c r="H14">
        <v>25.124948026239849</v>
      </c>
      <c r="I14">
        <v>25.459626430273033</v>
      </c>
      <c r="J14">
        <v>25.10290426107548</v>
      </c>
      <c r="K14">
        <v>25.060797265859719</v>
      </c>
      <c r="L14">
        <v>25.438618534330317</v>
      </c>
    </row>
    <row r="15" spans="2:12">
      <c r="B15" t="s">
        <v>12</v>
      </c>
      <c r="C15" s="1" t="s">
        <v>6</v>
      </c>
      <c r="D15">
        <v>21.81828077957033</v>
      </c>
      <c r="E15">
        <v>21.829385320469726</v>
      </c>
      <c r="F15">
        <v>21.828654006755698</v>
      </c>
      <c r="G15">
        <v>21.824365989978446</v>
      </c>
      <c r="H15">
        <v>21.82622620910405</v>
      </c>
      <c r="I15">
        <v>21.791797551140178</v>
      </c>
      <c r="J15">
        <v>21.800491010225699</v>
      </c>
      <c r="K15">
        <v>21.778388681778495</v>
      </c>
      <c r="L15">
        <v>21.756415048856525</v>
      </c>
    </row>
    <row r="16" spans="2:12">
      <c r="B16" s="7" t="s">
        <v>13</v>
      </c>
      <c r="C16" s="8" t="s">
        <v>6</v>
      </c>
      <c r="D16" s="7">
        <v>1.8488247068285935E-5</v>
      </c>
      <c r="E16" s="7">
        <v>1.848541612333059E-5</v>
      </c>
      <c r="F16" s="7">
        <v>1.8487093491640961E-5</v>
      </c>
      <c r="G16" s="7">
        <v>1.8493344259115356E-5</v>
      </c>
      <c r="H16" s="7">
        <v>1.8504997921049605E-5</v>
      </c>
      <c r="I16" s="7">
        <v>1.851838505721092E-5</v>
      </c>
      <c r="J16" s="7">
        <v>1.8504116170443017E-5</v>
      </c>
      <c r="K16" s="7">
        <v>1.8502431890634381E-5</v>
      </c>
      <c r="L16" s="7">
        <v>1.8517544741373201E-5</v>
      </c>
    </row>
    <row r="17" spans="2:12">
      <c r="B17" s="5" t="s">
        <v>15</v>
      </c>
      <c r="C17" s="6" t="s">
        <v>6</v>
      </c>
      <c r="D17" s="5">
        <v>0.33198826581693375</v>
      </c>
      <c r="E17" s="5">
        <v>1.2654926272951088</v>
      </c>
      <c r="F17" s="5">
        <v>2.8682400276265314</v>
      </c>
      <c r="G17" s="5">
        <v>5.2901398171283436</v>
      </c>
      <c r="H17" s="5">
        <v>8.3691488885210639</v>
      </c>
      <c r="I17" s="5">
        <v>12.508011904668869</v>
      </c>
      <c r="J17" s="5">
        <v>17.446852243793344</v>
      </c>
      <c r="K17" s="5">
        <v>22.938074174064521</v>
      </c>
      <c r="L17" s="5">
        <v>29.270759666941817</v>
      </c>
    </row>
    <row r="18" spans="2:12">
      <c r="B18" s="2" t="s">
        <v>16</v>
      </c>
      <c r="C18" s="3" t="s">
        <v>6</v>
      </c>
      <c r="D18" s="2">
        <v>-3.1849010698746598E-3</v>
      </c>
      <c r="E18" s="2">
        <v>3.4862502639321807E-2</v>
      </c>
      <c r="F18" s="2">
        <v>8.7054844990610405E-2</v>
      </c>
      <c r="G18" s="2">
        <v>0.18249126704945282</v>
      </c>
      <c r="H18" s="2">
        <v>0.36881098266627188</v>
      </c>
      <c r="I18" s="2">
        <v>0.42063091939786562</v>
      </c>
      <c r="J18" s="2">
        <v>0.46087813487690343</v>
      </c>
      <c r="K18" s="2">
        <v>0.67811993048233887</v>
      </c>
      <c r="L18" s="2">
        <v>0.6601047567899988</v>
      </c>
    </row>
    <row r="19" spans="2:12">
      <c r="B19" s="2" t="s">
        <v>17</v>
      </c>
      <c r="C19" s="3" t="s">
        <v>6</v>
      </c>
      <c r="D19" s="2">
        <v>-0.28733678173130284</v>
      </c>
      <c r="E19" s="2">
        <v>-1.1357424983509143</v>
      </c>
      <c r="F19" s="2">
        <v>-2.6565875525128644</v>
      </c>
      <c r="G19" s="2">
        <v>-4.8970106963168192</v>
      </c>
      <c r="H19" s="2">
        <v>-7.6924473314682542</v>
      </c>
      <c r="I19" s="2">
        <v>-11.232601309403579</v>
      </c>
      <c r="J19" s="2">
        <v>-15.378261234077572</v>
      </c>
      <c r="K19" s="2">
        <v>-20.403543981788804</v>
      </c>
      <c r="L19" s="2">
        <v>-25.272593812320462</v>
      </c>
    </row>
    <row r="20" spans="2:12">
      <c r="B20" t="s">
        <v>18</v>
      </c>
      <c r="C20" s="1" t="s">
        <v>6</v>
      </c>
      <c r="D20">
        <v>2.6100925570183654E-2</v>
      </c>
      <c r="E20">
        <v>7.483855762240782E-2</v>
      </c>
      <c r="F20">
        <v>0.14332327787141913</v>
      </c>
      <c r="G20">
        <v>0.26463656296270494</v>
      </c>
      <c r="H20">
        <v>0.4796955473440393</v>
      </c>
      <c r="I20">
        <v>0.56651829590094793</v>
      </c>
      <c r="J20">
        <v>0.60431643694777315</v>
      </c>
      <c r="K20">
        <v>0.85533505015903111</v>
      </c>
      <c r="L20">
        <v>0.88107694782660129</v>
      </c>
    </row>
    <row r="21" spans="2:12">
      <c r="B21" t="s">
        <v>19</v>
      </c>
      <c r="C21" s="1" t="s">
        <v>6</v>
      </c>
      <c r="D21">
        <v>-0.42740321425096456</v>
      </c>
      <c r="E21">
        <v>-1.6103155613554707</v>
      </c>
      <c r="F21">
        <v>-3.6255517480589905</v>
      </c>
      <c r="G21">
        <v>-6.6644554956556137</v>
      </c>
      <c r="H21">
        <v>-10.56171995923078</v>
      </c>
      <c r="I21">
        <v>-15.781794208920404</v>
      </c>
      <c r="J21">
        <v>-22.043193517163182</v>
      </c>
      <c r="K21">
        <v>-29.034289761749758</v>
      </c>
      <c r="L21">
        <v>-37.135950293050428</v>
      </c>
    </row>
    <row r="22" spans="2:12">
      <c r="B22" t="s">
        <v>20</v>
      </c>
      <c r="C22" s="1" t="s">
        <v>6</v>
      </c>
      <c r="D22">
        <v>1.6191795154631575E-3</v>
      </c>
      <c r="E22">
        <v>1.3763670330560812E-2</v>
      </c>
      <c r="F22">
        <v>1.8362215819288184E-2</v>
      </c>
      <c r="G22">
        <v>1.5591386038086581E-2</v>
      </c>
      <c r="H22">
        <v>5.6601795795103715E-3</v>
      </c>
      <c r="I22">
        <v>-3.939834276790094E-2</v>
      </c>
      <c r="J22">
        <v>-9.4285157095187325E-2</v>
      </c>
      <c r="K22">
        <v>-5.4748905067798684E-2</v>
      </c>
      <c r="L22">
        <v>-5.8779750331709887E-2</v>
      </c>
    </row>
    <row r="23" spans="2:12">
      <c r="B23" t="s">
        <v>21</v>
      </c>
      <c r="C23" s="1" t="s">
        <v>6</v>
      </c>
      <c r="D23">
        <v>0.33198827200846093</v>
      </c>
      <c r="E23">
        <v>1.2654925595122732</v>
      </c>
      <c r="F23">
        <v>2.8682398583671667</v>
      </c>
      <c r="G23">
        <v>5.2901394623148086</v>
      </c>
      <c r="H23">
        <v>8.3691481714548193</v>
      </c>
      <c r="I23">
        <v>12.508011086845332</v>
      </c>
      <c r="J23">
        <v>17.446851347710965</v>
      </c>
      <c r="K23">
        <v>22.938072855605501</v>
      </c>
      <c r="L23">
        <v>29.270758383496322</v>
      </c>
    </row>
    <row r="24" spans="2:12">
      <c r="B24" t="s">
        <v>22</v>
      </c>
      <c r="C24" s="1" t="s">
        <v>6</v>
      </c>
      <c r="D24">
        <v>-3.1842556109826499E-3</v>
      </c>
      <c r="E24">
        <v>3.4864963037846905E-2</v>
      </c>
      <c r="F24">
        <v>8.7060421485772976E-2</v>
      </c>
      <c r="G24">
        <v>0.18250155225525735</v>
      </c>
      <c r="H24">
        <v>0.36882725414886014</v>
      </c>
      <c r="I24">
        <v>0.42065523774883584</v>
      </c>
      <c r="J24">
        <v>0.46091205542977698</v>
      </c>
      <c r="K24">
        <v>0.6781645271892176</v>
      </c>
      <c r="L24">
        <v>0.66016166564328627</v>
      </c>
    </row>
    <row r="25" spans="2:12">
      <c r="B25" t="s">
        <v>23</v>
      </c>
      <c r="C25" s="1" t="s">
        <v>6</v>
      </c>
      <c r="D25">
        <v>-0.28733678173130284</v>
      </c>
      <c r="E25">
        <v>-1.1357424983509143</v>
      </c>
      <c r="F25">
        <v>-2.6565875525128644</v>
      </c>
      <c r="G25">
        <v>-4.8970106963168192</v>
      </c>
      <c r="H25">
        <v>-7.6924473314682542</v>
      </c>
      <c r="I25">
        <v>-11.232601309403579</v>
      </c>
      <c r="J25">
        <v>-15.378261234077572</v>
      </c>
      <c r="K25">
        <v>-20.403543981788804</v>
      </c>
      <c r="L25">
        <v>-25.272593812320462</v>
      </c>
    </row>
    <row r="26" spans="2:12">
      <c r="B26" s="2" t="s">
        <v>24</v>
      </c>
      <c r="C26" s="3" t="s">
        <v>6</v>
      </c>
      <c r="D26" s="2">
        <v>2.9572595152832067E-2</v>
      </c>
      <c r="E26" s="2">
        <v>3.6838878721934483E-2</v>
      </c>
      <c r="F26" s="2">
        <v>4.843446732908098E-2</v>
      </c>
      <c r="G26" s="2">
        <v>6.5722828184883425E-2</v>
      </c>
      <c r="H26" s="2">
        <v>7.7694374649045578E-2</v>
      </c>
      <c r="I26" s="2">
        <v>0.10803477006494912</v>
      </c>
      <c r="J26" s="2">
        <v>0.1019651533896845</v>
      </c>
      <c r="K26" s="2">
        <v>0.11619216462571272</v>
      </c>
      <c r="L26" s="2">
        <v>0.16157293280484067</v>
      </c>
    </row>
    <row r="27" spans="2:12">
      <c r="B27" s="2" t="s">
        <v>25</v>
      </c>
      <c r="C27" s="3" t="s">
        <v>6</v>
      </c>
      <c r="D27" s="2">
        <v>-6.5535947014940754E-2</v>
      </c>
      <c r="E27" s="2">
        <v>-0.23092852598127958</v>
      </c>
      <c r="F27" s="2">
        <v>-0.49917002377965791</v>
      </c>
      <c r="G27" s="2">
        <v>-0.89820296720764681</v>
      </c>
      <c r="H27" s="2">
        <v>-1.4393475196904286</v>
      </c>
      <c r="I27" s="2">
        <v>-2.1480610227918255</v>
      </c>
      <c r="J27" s="2">
        <v>-3.0261243731912488</v>
      </c>
      <c r="K27" s="2">
        <v>-4.0317886861236722</v>
      </c>
      <c r="L27" s="2">
        <v>-5.2308219419600812</v>
      </c>
    </row>
    <row r="28" spans="2:12">
      <c r="B28" s="2" t="s">
        <v>26</v>
      </c>
      <c r="C28" s="3" t="s">
        <v>6</v>
      </c>
      <c r="D28" s="2">
        <v>1.6191795154631575E-3</v>
      </c>
      <c r="E28" s="2">
        <v>1.3763670330560812E-2</v>
      </c>
      <c r="F28" s="2">
        <v>1.8362215819288184E-2</v>
      </c>
      <c r="G28" s="2">
        <v>1.5591386038086581E-2</v>
      </c>
      <c r="H28" s="2">
        <v>5.6601795795103715E-3</v>
      </c>
      <c r="I28" s="2">
        <v>-3.939834276790094E-2</v>
      </c>
      <c r="J28" s="2">
        <v>-9.4285157095187325E-2</v>
      </c>
      <c r="K28" s="2">
        <v>-5.4748905067798684E-2</v>
      </c>
      <c r="L28" s="2">
        <v>-5.8779750331709887E-2</v>
      </c>
    </row>
    <row r="33" spans="2:12">
      <c r="B33" s="7" t="s">
        <v>43</v>
      </c>
      <c r="C33" s="7"/>
      <c r="D33" s="7">
        <f t="shared" ref="D33:L33" si="0">D12*D9*0.61/D16</f>
        <v>197385.05609212437</v>
      </c>
      <c r="E33" s="7">
        <f t="shared" si="0"/>
        <v>394909.07275305194</v>
      </c>
      <c r="F33" s="7">
        <f t="shared" si="0"/>
        <v>586686.36761760723</v>
      </c>
      <c r="G33" s="7">
        <f t="shared" si="0"/>
        <v>786006.29410548997</v>
      </c>
      <c r="H33" s="7">
        <f t="shared" si="0"/>
        <v>977133.02419886843</v>
      </c>
      <c r="I33" s="7">
        <f t="shared" si="0"/>
        <v>1177396.0424066519</v>
      </c>
      <c r="J33" s="7">
        <f t="shared" si="0"/>
        <v>1372635.7531121878</v>
      </c>
      <c r="K33" s="7">
        <f t="shared" si="0"/>
        <v>1575550.5530896923</v>
      </c>
      <c r="L33" s="7">
        <f t="shared" si="0"/>
        <v>1771262.6739077708</v>
      </c>
    </row>
    <row r="34" spans="2:12">
      <c r="B34" s="5" t="s">
        <v>44</v>
      </c>
      <c r="C34" s="6" t="s">
        <v>6</v>
      </c>
      <c r="D34" s="5">
        <v>0.33198826581693375</v>
      </c>
      <c r="E34" s="5">
        <v>1.2654926272951088</v>
      </c>
      <c r="F34" s="5">
        <v>2.8682400276265314</v>
      </c>
      <c r="G34" s="5">
        <v>5.2901398171283436</v>
      </c>
      <c r="H34" s="5">
        <v>8.3691488885210639</v>
      </c>
      <c r="I34" s="5">
        <v>12.508011904668869</v>
      </c>
      <c r="J34" s="5">
        <v>17.446852243793344</v>
      </c>
      <c r="K34" s="5">
        <v>22.938074174064521</v>
      </c>
      <c r="L34" s="5">
        <v>29.2707596669418</v>
      </c>
    </row>
    <row r="36" spans="2:12">
      <c r="B36" s="7" t="s">
        <v>30</v>
      </c>
      <c r="C36" s="7"/>
      <c r="D36" s="7">
        <f>D21/(0.5*D12*(D9*D9)*0.042*0.32)</f>
        <v>-2.1176440740960749</v>
      </c>
      <c r="E36" s="7">
        <f t="shared" ref="E36:L36" si="1">E21/(0.5*E12*(E9*E9)*0.042*0.32)</f>
        <v>-1.9942639161022191</v>
      </c>
      <c r="F36" s="7">
        <f t="shared" si="1"/>
        <v>-2.0336500204279204</v>
      </c>
      <c r="G36" s="7">
        <f t="shared" si="1"/>
        <v>-2.0802062354767097</v>
      </c>
      <c r="H36" s="7">
        <f t="shared" si="1"/>
        <v>-2.1283899620826041</v>
      </c>
      <c r="I36" s="7">
        <f t="shared" si="1"/>
        <v>-2.184673983733548</v>
      </c>
      <c r="J36" s="7">
        <f t="shared" si="1"/>
        <v>-2.2512076174343107</v>
      </c>
      <c r="K36" s="7">
        <f t="shared" si="1"/>
        <v>-2.2513426986370599</v>
      </c>
      <c r="L36" s="7">
        <f t="shared" si="1"/>
        <v>-2.2717496596656046</v>
      </c>
    </row>
    <row r="37" spans="2:12">
      <c r="B37" s="7" t="s">
        <v>31</v>
      </c>
      <c r="C37" s="7"/>
      <c r="D37" s="7">
        <f>D19/(0.5*D12*(D9*D9)*0.042)</f>
        <v>-0.45557132960322</v>
      </c>
      <c r="E37" s="7">
        <f t="shared" ref="E37:L37" si="2">E19/(0.5*E12*(E9*E9)*0.042)</f>
        <v>-0.45009221035678076</v>
      </c>
      <c r="F37" s="7">
        <f t="shared" si="2"/>
        <v>-0.47684388635886643</v>
      </c>
      <c r="G37" s="7">
        <f t="shared" si="2"/>
        <v>-0.48912825684570432</v>
      </c>
      <c r="H37" s="7">
        <f t="shared" si="2"/>
        <v>-0.4960564073986623</v>
      </c>
      <c r="I37" s="7">
        <f t="shared" si="2"/>
        <v>-0.49757732790984766</v>
      </c>
      <c r="J37" s="7">
        <f t="shared" si="2"/>
        <v>-0.50257195346719286</v>
      </c>
      <c r="K37" s="7">
        <f t="shared" si="2"/>
        <v>-0.50627442403208467</v>
      </c>
      <c r="L37" s="7">
        <f t="shared" si="2"/>
        <v>-0.49472712830725879</v>
      </c>
    </row>
    <row r="38" spans="2:12">
      <c r="B38" s="7" t="s">
        <v>32</v>
      </c>
      <c r="C38" s="7"/>
      <c r="D38" s="7">
        <f>D17/(0.5*D12*(D9*D9)*0.042)</f>
        <v>0.5263660808045133</v>
      </c>
      <c r="E38" s="7">
        <f t="shared" ref="E38:L38" si="3">E17/(0.5*E12*(E9*E9)*0.042)</f>
        <v>0.50151189608251989</v>
      </c>
      <c r="F38" s="7">
        <f t="shared" si="3"/>
        <v>0.5148344237666056</v>
      </c>
      <c r="G38" s="7">
        <f t="shared" si="3"/>
        <v>0.5283951838553701</v>
      </c>
      <c r="H38" s="7">
        <f t="shared" si="3"/>
        <v>0.53969429386159451</v>
      </c>
      <c r="I38" s="7">
        <f t="shared" si="3"/>
        <v>0.55407496176147653</v>
      </c>
      <c r="J38" s="7">
        <f t="shared" si="3"/>
        <v>0.57017490342708721</v>
      </c>
      <c r="K38" s="7">
        <f t="shared" si="3"/>
        <v>0.56916388159061515</v>
      </c>
      <c r="L38" s="7">
        <f t="shared" si="3"/>
        <v>0.57299377265892326</v>
      </c>
    </row>
    <row r="41" spans="2:12" ht="16.5">
      <c r="B41" s="30" t="s">
        <v>33</v>
      </c>
      <c r="C41" s="30" t="s">
        <v>34</v>
      </c>
      <c r="D41" s="30">
        <v>0.13396195</v>
      </c>
      <c r="E41" s="30">
        <v>0.51155158999999994</v>
      </c>
      <c r="F41" s="30">
        <v>1.2309274699999999</v>
      </c>
      <c r="G41" s="30">
        <v>2.3721860100000001</v>
      </c>
      <c r="H41" s="30">
        <v>3.86831842</v>
      </c>
      <c r="I41" s="30">
        <v>5.9717672999999998</v>
      </c>
      <c r="J41" s="30">
        <v>8.6192645900000002</v>
      </c>
      <c r="K41" s="30">
        <v>11.3357156</v>
      </c>
      <c r="L41" s="30">
        <v>14.567197500000001</v>
      </c>
    </row>
    <row r="42" spans="2:12" ht="16.5">
      <c r="B42" s="30" t="s">
        <v>45</v>
      </c>
      <c r="C42" s="30" t="s">
        <v>34</v>
      </c>
      <c r="D42" s="34">
        <v>0.21239614000000001</v>
      </c>
      <c r="E42" s="34">
        <v>0.20272675000000001</v>
      </c>
      <c r="F42" s="34">
        <v>0.22094519000000001</v>
      </c>
      <c r="G42" s="34">
        <v>0.23694112000000001</v>
      </c>
      <c r="H42" s="34">
        <v>0.24945301</v>
      </c>
      <c r="I42" s="34">
        <v>0.26453499000000003</v>
      </c>
      <c r="J42" s="34">
        <v>0.28168337999999998</v>
      </c>
      <c r="K42" s="34">
        <v>0.28127383</v>
      </c>
      <c r="L42" s="34">
        <v>0.28516216999999999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B86A1-E992-4D0D-89AF-F5B7AD6C4A82}">
  <dimension ref="A1:L20"/>
  <sheetViews>
    <sheetView topLeftCell="A4" workbookViewId="0">
      <selection activeCell="C15" sqref="C15"/>
    </sheetView>
  </sheetViews>
  <sheetFormatPr defaultRowHeight="15"/>
  <cols>
    <col min="9" max="9" width="15.85546875" bestFit="1" customWidth="1"/>
    <col min="12" max="12" width="16" customWidth="1"/>
  </cols>
  <sheetData>
    <row r="1" spans="1:12" s="7" customFormat="1">
      <c r="A1" s="7" t="s">
        <v>46</v>
      </c>
      <c r="B1" s="5" t="s">
        <v>17</v>
      </c>
      <c r="C1" s="6" t="s">
        <v>6</v>
      </c>
      <c r="D1" s="5">
        <v>-0.16676483391858574</v>
      </c>
      <c r="E1" s="5">
        <v>-0.66116563980134091</v>
      </c>
      <c r="F1" s="5">
        <v>-1.6869072322763743</v>
      </c>
      <c r="G1" s="5">
        <v>-3.1466504824888366</v>
      </c>
      <c r="H1" s="5">
        <v>-5.2037759645582566</v>
      </c>
      <c r="I1" s="5">
        <v>-7.3889729251409149</v>
      </c>
      <c r="J1" s="5">
        <v>-10.459478462837426</v>
      </c>
      <c r="K1" s="5">
        <v>-13.571955798790784</v>
      </c>
      <c r="L1" s="5">
        <v>-16.033463499952262</v>
      </c>
    </row>
    <row r="2" spans="1:12" s="18" customFormat="1">
      <c r="A2" s="18" t="s">
        <v>47</v>
      </c>
      <c r="B2" s="19" t="s">
        <v>17</v>
      </c>
      <c r="C2" s="20" t="s">
        <v>6</v>
      </c>
      <c r="D2" s="19">
        <v>-0.28369890717118695</v>
      </c>
      <c r="E2" s="19">
        <v>-1.2360232921342098</v>
      </c>
      <c r="F2" s="19">
        <v>-2.8609460977319134</v>
      </c>
      <c r="G2" s="19">
        <v>-5.2617288645127678</v>
      </c>
      <c r="H2" s="19">
        <v>-8.340220685240098</v>
      </c>
      <c r="I2" s="19">
        <v>-12.046185318922786</v>
      </c>
      <c r="J2" s="19">
        <v>-16.881510425057954</v>
      </c>
      <c r="K2" s="19">
        <v>-22.127749968246384</v>
      </c>
      <c r="L2" s="19">
        <v>-28.723564261812133</v>
      </c>
    </row>
    <row r="3" spans="1:12" s="21" customFormat="1">
      <c r="A3" s="21" t="s">
        <v>48</v>
      </c>
      <c r="B3" s="22" t="s">
        <v>17</v>
      </c>
      <c r="C3" s="23" t="s">
        <v>6</v>
      </c>
      <c r="D3" s="22">
        <v>-0.2053516126788906</v>
      </c>
      <c r="E3" s="22">
        <v>-0.73376992858574841</v>
      </c>
      <c r="F3" s="22">
        <v>-1.7702483715927035</v>
      </c>
      <c r="G3" s="22">
        <v>-3.0802151060500682</v>
      </c>
      <c r="H3" s="22">
        <v>-5.0622201935627196</v>
      </c>
      <c r="I3" s="22">
        <v>-7.337660947690761</v>
      </c>
      <c r="J3" s="22">
        <v>-10.212507555090514</v>
      </c>
      <c r="K3" s="22">
        <v>-13.364872465415397</v>
      </c>
      <c r="L3" s="22">
        <v>-15.415784844683552</v>
      </c>
    </row>
    <row r="4" spans="1:12" s="24" customFormat="1">
      <c r="A4" s="24" t="s">
        <v>49</v>
      </c>
      <c r="B4" s="25" t="s">
        <v>17</v>
      </c>
      <c r="C4" s="26" t="s">
        <v>6</v>
      </c>
      <c r="D4" s="25">
        <v>-0.28733678173130284</v>
      </c>
      <c r="E4" s="25">
        <v>-1.1357424983509143</v>
      </c>
      <c r="F4" s="25">
        <v>-2.6565875525128644</v>
      </c>
      <c r="G4" s="25">
        <v>-4.8970106963168192</v>
      </c>
      <c r="H4" s="25">
        <v>-7.6924473314682542</v>
      </c>
      <c r="I4" s="25">
        <v>-11.232601309403579</v>
      </c>
      <c r="J4" s="25">
        <v>-15.378261234077572</v>
      </c>
      <c r="K4" s="25">
        <v>-20.403543981788804</v>
      </c>
      <c r="L4" s="25">
        <v>-25.272593812320462</v>
      </c>
    </row>
    <row r="7" spans="1:12" s="7" customFormat="1">
      <c r="A7" s="7" t="s">
        <v>46</v>
      </c>
      <c r="B7" s="7" t="s">
        <v>19</v>
      </c>
      <c r="C7" s="8" t="s">
        <v>6</v>
      </c>
      <c r="D7" s="7">
        <v>-0.43886590364758843</v>
      </c>
      <c r="E7" s="7">
        <v>-1.6290819573281718</v>
      </c>
      <c r="F7" s="7">
        <v>-3.7413176819943965</v>
      </c>
      <c r="G7" s="7">
        <v>-6.9373975720471197</v>
      </c>
      <c r="H7" s="7">
        <v>-11.425072511212726</v>
      </c>
      <c r="I7" s="7">
        <v>-16.590687038573353</v>
      </c>
      <c r="J7" s="7">
        <v>-23.351136031969038</v>
      </c>
      <c r="K7" s="7">
        <v>-30.625586355509565</v>
      </c>
      <c r="L7" s="7">
        <v>-39.373598420509339</v>
      </c>
    </row>
    <row r="8" spans="1:12" s="18" customFormat="1">
      <c r="A8" s="18" t="s">
        <v>47</v>
      </c>
      <c r="B8" s="18" t="s">
        <v>19</v>
      </c>
      <c r="C8" s="27" t="s">
        <v>6</v>
      </c>
      <c r="D8" s="18">
        <v>-0.44997189245312746</v>
      </c>
      <c r="E8" s="18">
        <v>-1.7232870056529734</v>
      </c>
      <c r="F8" s="18">
        <v>-3.7968677070497638</v>
      </c>
      <c r="G8" s="18">
        <v>-6.900920423461149</v>
      </c>
      <c r="H8" s="18">
        <v>-10.779734033509829</v>
      </c>
      <c r="I8" s="18">
        <v>-15.683811389892094</v>
      </c>
      <c r="J8" s="18">
        <v>-21.964738832325295</v>
      </c>
      <c r="K8" s="18">
        <v>-29.087762183297563</v>
      </c>
      <c r="L8" s="18">
        <v>-37.282953544707759</v>
      </c>
    </row>
    <row r="9" spans="1:12" s="21" customFormat="1">
      <c r="A9" s="21" t="s">
        <v>48</v>
      </c>
      <c r="B9" s="21" t="s">
        <v>19</v>
      </c>
      <c r="C9" s="28" t="s">
        <v>6</v>
      </c>
      <c r="D9" s="21">
        <v>-0.43272432451788595</v>
      </c>
      <c r="E9" s="21">
        <v>-1.6666404020908805</v>
      </c>
      <c r="F9" s="21">
        <v>-3.6939414380074873</v>
      </c>
      <c r="G9" s="21">
        <v>-6.6763126448477905</v>
      </c>
      <c r="H9" s="21">
        <v>-11.072393917104291</v>
      </c>
      <c r="I9" s="21">
        <v>-16.222394640305993</v>
      </c>
      <c r="J9" s="21">
        <v>-22.923118983904455</v>
      </c>
      <c r="K9" s="21">
        <v>-30.379781541346674</v>
      </c>
      <c r="L9" s="21">
        <v>-39.06615954485558</v>
      </c>
    </row>
    <row r="10" spans="1:12" s="24" customFormat="1">
      <c r="A10" s="24" t="s">
        <v>49</v>
      </c>
      <c r="B10" s="24" t="s">
        <v>19</v>
      </c>
      <c r="C10" s="29" t="s">
        <v>6</v>
      </c>
      <c r="D10" s="24">
        <v>-0.42740321425096456</v>
      </c>
      <c r="E10" s="24">
        <v>-1.6103155613554707</v>
      </c>
      <c r="F10" s="24">
        <v>-3.6255517480589905</v>
      </c>
      <c r="G10" s="24">
        <v>-6.6644554956556137</v>
      </c>
      <c r="H10" s="24">
        <v>-10.56171995923078</v>
      </c>
      <c r="I10" s="24">
        <v>-15.781794208920404</v>
      </c>
      <c r="J10" s="24">
        <v>-22.043193517163182</v>
      </c>
      <c r="K10" s="24">
        <v>-29.034289761749758</v>
      </c>
      <c r="L10" s="24">
        <v>-37.135950293050428</v>
      </c>
    </row>
    <row r="15" spans="1:12" s="7" customFormat="1" ht="16.5">
      <c r="A15" s="30" t="s">
        <v>50</v>
      </c>
      <c r="B15" s="30"/>
      <c r="C15" s="30">
        <v>198661.731</v>
      </c>
      <c r="D15" s="30">
        <v>393368.69699999999</v>
      </c>
      <c r="E15" s="30">
        <v>587418.62899999996</v>
      </c>
      <c r="F15" s="30">
        <v>781631.16700000002</v>
      </c>
      <c r="G15" s="30">
        <v>975683.353</v>
      </c>
      <c r="H15" s="30">
        <v>1170370.1399999999</v>
      </c>
      <c r="I15" s="30">
        <v>1368993.69</v>
      </c>
      <c r="J15" s="30">
        <v>1570278.78</v>
      </c>
      <c r="K15" s="30">
        <v>1764591.31</v>
      </c>
    </row>
    <row r="16" spans="1:12" s="18" customFormat="1" ht="16.5">
      <c r="A16" s="31" t="s">
        <v>51</v>
      </c>
      <c r="B16" s="31"/>
      <c r="C16" s="31">
        <v>200779.78700000001</v>
      </c>
      <c r="D16" s="31">
        <v>395188.84100000001</v>
      </c>
      <c r="E16" s="31">
        <v>582861.43400000001</v>
      </c>
      <c r="F16" s="31">
        <v>782140.75300000003</v>
      </c>
      <c r="G16" s="31">
        <v>973726.91299999994</v>
      </c>
      <c r="H16" s="31">
        <v>1161913.6399999999</v>
      </c>
      <c r="I16" s="31">
        <v>1362726.41</v>
      </c>
      <c r="J16" s="31">
        <v>1552563.41</v>
      </c>
      <c r="K16" s="31">
        <v>1750630.45</v>
      </c>
    </row>
    <row r="17" spans="1:11" s="21" customFormat="1" ht="16.5">
      <c r="A17" s="32" t="s">
        <v>52</v>
      </c>
      <c r="B17" s="32"/>
      <c r="C17" s="32">
        <v>195468.68700000001</v>
      </c>
      <c r="D17" s="32">
        <v>395907.02100000001</v>
      </c>
      <c r="E17" s="32">
        <v>584105.06099999999</v>
      </c>
      <c r="F17" s="32">
        <v>775264.35800000001</v>
      </c>
      <c r="G17" s="32">
        <v>976194.16</v>
      </c>
      <c r="H17" s="32">
        <v>1164948.1499999999</v>
      </c>
      <c r="I17" s="32">
        <v>1360765.2</v>
      </c>
      <c r="J17" s="32">
        <v>1567772.97</v>
      </c>
      <c r="K17" s="32">
        <v>1763449.86</v>
      </c>
    </row>
    <row r="18" spans="1:11" s="24" customFormat="1" ht="16.5">
      <c r="A18" s="33" t="s">
        <v>43</v>
      </c>
      <c r="B18" s="33"/>
      <c r="C18" s="33">
        <v>197385.05600000001</v>
      </c>
      <c r="D18" s="33">
        <v>394909.07299999997</v>
      </c>
      <c r="E18" s="33">
        <v>586686.36800000002</v>
      </c>
      <c r="F18" s="33">
        <v>786006.29399999999</v>
      </c>
      <c r="G18" s="33">
        <v>977133.02399999998</v>
      </c>
      <c r="H18" s="33">
        <v>1177396.04</v>
      </c>
      <c r="I18" s="33">
        <v>1372635.75</v>
      </c>
      <c r="J18" s="33">
        <v>1575550.55</v>
      </c>
      <c r="K18" s="33">
        <v>1771262.67</v>
      </c>
    </row>
    <row r="19" spans="1:11">
      <c r="C19" s="7">
        <f>(C15+C16+C17+C18)/4</f>
        <v>198073.81525000001</v>
      </c>
      <c r="D19" s="7">
        <f t="shared" ref="D19:K19" si="0">(D15+D16+D17+D18)/4</f>
        <v>394843.40799999994</v>
      </c>
      <c r="E19" s="7">
        <f t="shared" si="0"/>
        <v>585267.87300000002</v>
      </c>
      <c r="F19" s="7">
        <f t="shared" si="0"/>
        <v>781260.64299999992</v>
      </c>
      <c r="G19" s="7">
        <f t="shared" si="0"/>
        <v>975684.36250000005</v>
      </c>
      <c r="H19" s="7">
        <f t="shared" si="0"/>
        <v>1168656.9924999999</v>
      </c>
      <c r="I19" s="7">
        <f t="shared" si="0"/>
        <v>1366280.2625</v>
      </c>
      <c r="J19" s="7">
        <f t="shared" si="0"/>
        <v>1566541.4275</v>
      </c>
      <c r="K19" s="7">
        <f t="shared" si="0"/>
        <v>1762483.5725</v>
      </c>
    </row>
    <row r="20" spans="1:11">
      <c r="I20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62"/>
  <sheetViews>
    <sheetView topLeftCell="A71" workbookViewId="0">
      <selection activeCell="C46" sqref="C46"/>
    </sheetView>
  </sheetViews>
  <sheetFormatPr defaultRowHeight="15"/>
  <cols>
    <col min="2" max="2" width="29.140625" bestFit="1" customWidth="1"/>
    <col min="3" max="3" width="19.140625" customWidth="1"/>
    <col min="4" max="4" width="21.7109375" customWidth="1"/>
    <col min="5" max="5" width="21.5703125" customWidth="1"/>
    <col min="6" max="6" width="22.7109375" customWidth="1"/>
    <col min="7" max="7" width="25.42578125" customWidth="1"/>
    <col min="8" max="8" width="22.7109375" customWidth="1"/>
    <col min="9" max="9" width="20.28515625" customWidth="1"/>
    <col min="10" max="10" width="20.85546875" customWidth="1"/>
    <col min="11" max="11" width="19" customWidth="1"/>
    <col min="12" max="12" width="22.5703125" customWidth="1"/>
    <col min="13" max="18" width="12.7109375" bestFit="1" customWidth="1"/>
  </cols>
  <sheetData>
    <row r="3" spans="2:3">
      <c r="B3" t="s">
        <v>0</v>
      </c>
      <c r="C3" s="1"/>
    </row>
    <row r="4" spans="2:3">
      <c r="B4" t="s">
        <v>1</v>
      </c>
      <c r="C4" s="1"/>
    </row>
    <row r="5" spans="2:3">
      <c r="B5" t="s">
        <v>2</v>
      </c>
      <c r="C5" s="1" t="s">
        <v>3</v>
      </c>
    </row>
    <row r="6" spans="2:3">
      <c r="B6" t="s">
        <v>0</v>
      </c>
      <c r="C6" s="1"/>
    </row>
    <row r="7" spans="2:3">
      <c r="B7" t="s">
        <v>1</v>
      </c>
      <c r="C7" s="1"/>
    </row>
    <row r="8" spans="2:3">
      <c r="B8" t="s">
        <v>4</v>
      </c>
      <c r="C8" s="1" t="s">
        <v>3</v>
      </c>
    </row>
    <row r="9" spans="2:3">
      <c r="B9" t="s">
        <v>5</v>
      </c>
      <c r="C9" s="1" t="s">
        <v>6</v>
      </c>
    </row>
    <row r="10" spans="2:3">
      <c r="B10" t="s">
        <v>9</v>
      </c>
      <c r="C10" s="1" t="s">
        <v>6</v>
      </c>
    </row>
    <row r="11" spans="2:3">
      <c r="B11" t="s">
        <v>53</v>
      </c>
      <c r="C11" s="1" t="s">
        <v>6</v>
      </c>
    </row>
    <row r="12" spans="2:3">
      <c r="B12" t="s">
        <v>54</v>
      </c>
      <c r="C12" s="1" t="s">
        <v>6</v>
      </c>
    </row>
    <row r="13" spans="2:3">
      <c r="B13" t="s">
        <v>55</v>
      </c>
      <c r="C13" s="1" t="s">
        <v>6</v>
      </c>
    </row>
    <row r="14" spans="2:3">
      <c r="B14" t="s">
        <v>56</v>
      </c>
      <c r="C14" s="1" t="s">
        <v>6</v>
      </c>
    </row>
    <row r="15" spans="2:3">
      <c r="B15" t="s">
        <v>57</v>
      </c>
      <c r="C15" s="1" t="s">
        <v>6</v>
      </c>
    </row>
    <row r="16" spans="2:3">
      <c r="B16" t="s">
        <v>58</v>
      </c>
      <c r="C16" s="1" t="s">
        <v>6</v>
      </c>
    </row>
    <row r="17" spans="2:3">
      <c r="B17" t="s">
        <v>59</v>
      </c>
      <c r="C17" s="1" t="s">
        <v>6</v>
      </c>
    </row>
    <row r="18" spans="2:3">
      <c r="B18" t="s">
        <v>60</v>
      </c>
      <c r="C18" s="1" t="s">
        <v>6</v>
      </c>
    </row>
    <row r="19" spans="2:3">
      <c r="B19" t="s">
        <v>61</v>
      </c>
      <c r="C19" s="1" t="s">
        <v>6</v>
      </c>
    </row>
    <row r="20" spans="2:3">
      <c r="B20" t="s">
        <v>62</v>
      </c>
      <c r="C20" s="1" t="s">
        <v>6</v>
      </c>
    </row>
    <row r="21" spans="2:3">
      <c r="B21" t="s">
        <v>63</v>
      </c>
      <c r="C21" s="1" t="s">
        <v>6</v>
      </c>
    </row>
    <row r="22" spans="2:3">
      <c r="B22" t="s">
        <v>64</v>
      </c>
      <c r="C22" s="1" t="s">
        <v>6</v>
      </c>
    </row>
    <row r="23" spans="2:3">
      <c r="B23" t="s">
        <v>65</v>
      </c>
      <c r="C23" s="1" t="s">
        <v>6</v>
      </c>
    </row>
    <row r="24" spans="2:3">
      <c r="B24" t="s">
        <v>66</v>
      </c>
      <c r="C24" s="1" t="s">
        <v>6</v>
      </c>
    </row>
    <row r="25" spans="2:3">
      <c r="B25" t="s">
        <v>67</v>
      </c>
      <c r="C25" s="1" t="s">
        <v>6</v>
      </c>
    </row>
    <row r="26" spans="2:3">
      <c r="B26" t="s">
        <v>68</v>
      </c>
      <c r="C26" s="1" t="s">
        <v>6</v>
      </c>
    </row>
    <row r="27" spans="2:3">
      <c r="B27" t="s">
        <v>69</v>
      </c>
      <c r="C27" s="1" t="s">
        <v>6</v>
      </c>
    </row>
    <row r="28" spans="2:3">
      <c r="B28" t="s">
        <v>70</v>
      </c>
      <c r="C28" s="1" t="s">
        <v>6</v>
      </c>
    </row>
    <row r="29" spans="2:3">
      <c r="B29" t="s">
        <v>71</v>
      </c>
      <c r="C29" s="1" t="s">
        <v>6</v>
      </c>
    </row>
    <row r="30" spans="2:3">
      <c r="B30" t="s">
        <v>72</v>
      </c>
      <c r="C30" s="1" t="s">
        <v>6</v>
      </c>
    </row>
    <row r="31" spans="2:3">
      <c r="B31" t="s">
        <v>73</v>
      </c>
      <c r="C31" s="1" t="s">
        <v>6</v>
      </c>
    </row>
    <row r="32" spans="2:3">
      <c r="B32" t="s">
        <v>74</v>
      </c>
      <c r="C32" s="1" t="s">
        <v>6</v>
      </c>
    </row>
    <row r="33" spans="2:3">
      <c r="B33" t="s">
        <v>75</v>
      </c>
      <c r="C33" s="1" t="s">
        <v>6</v>
      </c>
    </row>
    <row r="34" spans="2:3">
      <c r="B34" t="s">
        <v>76</v>
      </c>
      <c r="C34" s="1" t="s">
        <v>6</v>
      </c>
    </row>
    <row r="35" spans="2:3">
      <c r="B35" t="s">
        <v>77</v>
      </c>
      <c r="C35" s="1" t="s">
        <v>6</v>
      </c>
    </row>
    <row r="36" spans="2:3">
      <c r="B36" t="s">
        <v>78</v>
      </c>
      <c r="C36" s="1" t="s">
        <v>6</v>
      </c>
    </row>
    <row r="37" spans="2:3">
      <c r="B37" t="s">
        <v>79</v>
      </c>
      <c r="C37" s="1" t="s">
        <v>6</v>
      </c>
    </row>
    <row r="38" spans="2:3">
      <c r="B38" t="s">
        <v>80</v>
      </c>
      <c r="C38" s="1" t="s">
        <v>6</v>
      </c>
    </row>
    <row r="39" spans="2:3">
      <c r="B39" t="s">
        <v>81</v>
      </c>
      <c r="C39" s="1" t="s">
        <v>6</v>
      </c>
    </row>
    <row r="40" spans="2:3">
      <c r="B40" t="s">
        <v>82</v>
      </c>
      <c r="C40" s="1" t="s">
        <v>6</v>
      </c>
    </row>
    <row r="50" spans="2:12">
      <c r="D50" s="7"/>
      <c r="E50" s="7"/>
      <c r="F50" s="7"/>
      <c r="G50" s="7"/>
      <c r="H50" s="7"/>
      <c r="I50" s="7"/>
      <c r="J50" s="7"/>
      <c r="K50" s="7"/>
      <c r="L50" s="7"/>
    </row>
    <row r="51" spans="2:12">
      <c r="B51" t="s">
        <v>83</v>
      </c>
      <c r="C51" t="s">
        <v>84</v>
      </c>
      <c r="D51" s="11">
        <v>0.32737089681585813</v>
      </c>
      <c r="E51" s="5">
        <v>1.213288464556151</v>
      </c>
      <c r="F51" s="5">
        <v>2.827111359656322</v>
      </c>
      <c r="G51" s="5">
        <v>5.2533243203211883</v>
      </c>
      <c r="H51" s="5">
        <v>8.6803004168619804</v>
      </c>
      <c r="I51" s="5">
        <v>12.52181047394815</v>
      </c>
      <c r="J51" s="5">
        <v>17.695045642390532</v>
      </c>
      <c r="K51" s="5">
        <v>23.204599965457181</v>
      </c>
      <c r="L51" s="5">
        <v>29.693626878960039</v>
      </c>
    </row>
    <row r="52" spans="2:12">
      <c r="B52" t="s">
        <v>83</v>
      </c>
      <c r="C52" t="s">
        <v>85</v>
      </c>
      <c r="D52" s="13">
        <v>0.34859093259872825</v>
      </c>
      <c r="E52" s="5">
        <v>1.3684017548284495</v>
      </c>
      <c r="F52" s="5">
        <v>3.0279985485914107</v>
      </c>
      <c r="G52" s="5">
        <v>5.497096385485472</v>
      </c>
      <c r="H52" s="5">
        <v>8.5643009603324547</v>
      </c>
      <c r="I52" s="5">
        <v>12.425204295782551</v>
      </c>
      <c r="J52" s="5">
        <v>17.337032223553809</v>
      </c>
      <c r="K52" s="5">
        <v>22.855990247731366</v>
      </c>
      <c r="L52" s="5">
        <v>29.233499366100194</v>
      </c>
    </row>
    <row r="53" spans="2:12">
      <c r="B53" t="s">
        <v>83</v>
      </c>
      <c r="C53" t="s">
        <v>86</v>
      </c>
      <c r="D53" s="15">
        <v>0.32663924642454123</v>
      </c>
      <c r="E53" s="5">
        <v>1.2451037343162072</v>
      </c>
      <c r="F53" s="5">
        <v>2.7910523871758119</v>
      </c>
      <c r="G53" s="5">
        <v>5.026919627109522</v>
      </c>
      <c r="H53" s="5">
        <v>8.349031127523272</v>
      </c>
      <c r="I53" s="5">
        <v>12.278123630664208</v>
      </c>
      <c r="J53" s="5">
        <v>17.364330071026384</v>
      </c>
      <c r="K53" s="5">
        <v>23.009857234024341</v>
      </c>
      <c r="L53" s="5">
        <v>29.399978800711786</v>
      </c>
    </row>
    <row r="54" spans="2:12">
      <c r="B54" t="s">
        <v>83</v>
      </c>
      <c r="C54" t="s">
        <v>87</v>
      </c>
      <c r="D54" s="5">
        <v>0.33198826581693375</v>
      </c>
      <c r="E54" s="5">
        <v>1.2654926272951088</v>
      </c>
      <c r="F54" s="5">
        <v>2.8682400276265314</v>
      </c>
      <c r="G54" s="5">
        <v>5.2901398171283436</v>
      </c>
      <c r="H54" s="5">
        <v>8.3691488885210639</v>
      </c>
      <c r="I54" s="5">
        <v>12.508011904668869</v>
      </c>
      <c r="J54" s="5">
        <v>17.446852243793344</v>
      </c>
      <c r="K54" s="5">
        <v>22.938074174064521</v>
      </c>
      <c r="L54" s="5">
        <v>29.2707596669418</v>
      </c>
    </row>
    <row r="56" spans="2:12">
      <c r="B56" t="s">
        <v>88</v>
      </c>
      <c r="C56" t="s">
        <v>84</v>
      </c>
      <c r="D56" s="12">
        <f>'Configuration 1 '!D31</f>
        <v>198661.73048485801</v>
      </c>
      <c r="E56">
        <f>'Configuration 1 '!E31</f>
        <v>393368.69692790048</v>
      </c>
      <c r="F56">
        <f>'Configuration 1 '!F31</f>
        <v>587418.62845489418</v>
      </c>
      <c r="G56">
        <f>'Configuration 1 '!G31</f>
        <v>781631.16703384591</v>
      </c>
      <c r="H56">
        <f>'Configuration 1 '!H31</f>
        <v>975683.35282118549</v>
      </c>
      <c r="I56">
        <f>'Configuration 1 '!I31</f>
        <v>1170370.1355263733</v>
      </c>
      <c r="J56">
        <f>'Configuration 1 '!J31</f>
        <v>1368993.6932289922</v>
      </c>
      <c r="K56">
        <f>'Configuration 1 '!K31</f>
        <v>1570278.7770103512</v>
      </c>
      <c r="L56">
        <f>'Configuration 1 '!L31</f>
        <v>1764591.3074457422</v>
      </c>
    </row>
    <row r="57" spans="2:12">
      <c r="B57" t="s">
        <v>88</v>
      </c>
      <c r="C57" t="s">
        <v>85</v>
      </c>
      <c r="D57" s="14" cm="1">
        <f t="array" ref="D57:L57">'Configuration 2 '!D33:L33</f>
        <v>200779.78686342447</v>
      </c>
      <c r="E57">
        <v>395188.84103088529</v>
      </c>
      <c r="F57">
        <v>582861.43407445389</v>
      </c>
      <c r="G57">
        <v>782140.75312107895</v>
      </c>
      <c r="H57">
        <v>973726.91249059059</v>
      </c>
      <c r="I57">
        <v>1161913.6413699053</v>
      </c>
      <c r="J57">
        <v>1362726.4053416951</v>
      </c>
      <c r="K57">
        <v>1552563.4075428511</v>
      </c>
      <c r="L57">
        <v>1750630.4493539007</v>
      </c>
    </row>
    <row r="58" spans="2:12">
      <c r="B58" t="s">
        <v>88</v>
      </c>
      <c r="C58" t="s">
        <v>86</v>
      </c>
      <c r="D58" s="16" cm="1">
        <f t="array" ref="D58:L58">'Configuration 3'!D32:L32</f>
        <v>195468.68740424165</v>
      </c>
      <c r="E58">
        <v>395907.02060392394</v>
      </c>
      <c r="F58">
        <v>584105.06127696496</v>
      </c>
      <c r="G58">
        <v>775264.3583884167</v>
      </c>
      <c r="H58">
        <v>976194.16006657272</v>
      </c>
      <c r="I58">
        <v>1164948.1501802511</v>
      </c>
      <c r="J58">
        <v>1360765.2023097342</v>
      </c>
      <c r="K58">
        <v>1567772.9728869302</v>
      </c>
      <c r="L58">
        <v>1763449.8627019597</v>
      </c>
    </row>
    <row r="59" spans="2:12">
      <c r="B59" t="s">
        <v>88</v>
      </c>
      <c r="C59" t="s">
        <v>87</v>
      </c>
      <c r="D59" cm="1">
        <f t="array" ref="D59:L59">'Configuration 4'!D33:L33</f>
        <v>197385.05609212437</v>
      </c>
      <c r="E59">
        <v>394909.07275305194</v>
      </c>
      <c r="F59">
        <v>586686.36761760723</v>
      </c>
      <c r="G59">
        <v>786006.29410548997</v>
      </c>
      <c r="H59">
        <v>977133.02419886843</v>
      </c>
      <c r="I59">
        <v>1177396.0424066519</v>
      </c>
      <c r="J59">
        <v>1372635.7531121878</v>
      </c>
      <c r="K59">
        <v>1575550.5530896923</v>
      </c>
      <c r="L59">
        <v>1771262.6739077708</v>
      </c>
    </row>
    <row r="61" spans="2:12">
      <c r="C61" t="s">
        <v>89</v>
      </c>
      <c r="D61">
        <f>AVERAGE(D56:D59)</f>
        <v>198073.81521116215</v>
      </c>
      <c r="E61">
        <f t="shared" ref="E61:L61" si="0">AVERAGE(E56:E59)</f>
        <v>394843.40782894043</v>
      </c>
      <c r="F61">
        <f t="shared" si="0"/>
        <v>585267.87285598007</v>
      </c>
      <c r="G61">
        <f t="shared" si="0"/>
        <v>781260.64316220791</v>
      </c>
      <c r="H61">
        <f t="shared" si="0"/>
        <v>975684.36239430425</v>
      </c>
      <c r="I61">
        <f t="shared" si="0"/>
        <v>1168656.9923707955</v>
      </c>
      <c r="J61">
        <f t="shared" si="0"/>
        <v>1366280.2634981524</v>
      </c>
      <c r="K61">
        <f t="shared" si="0"/>
        <v>1566541.4276324562</v>
      </c>
      <c r="L61">
        <f t="shared" si="0"/>
        <v>1762483.5733523434</v>
      </c>
    </row>
    <row r="62" spans="2:12">
      <c r="D62" s="17">
        <f>(D57-D56)/D57</f>
        <v>1.0549151444249776E-2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3963084FD7684B9BA7EF2EE64AEBE5" ma:contentTypeVersion="12" ma:contentTypeDescription="Create a new document." ma:contentTypeScope="" ma:versionID="dba7a196d7cdacc43fc565fb6800d396">
  <xsd:schema xmlns:xsd="http://www.w3.org/2001/XMLSchema" xmlns:xs="http://www.w3.org/2001/XMLSchema" xmlns:p="http://schemas.microsoft.com/office/2006/metadata/properties" xmlns:ns3="a07e78e9-02c4-4d14-b169-20423a155947" targetNamespace="http://schemas.microsoft.com/office/2006/metadata/properties" ma:root="true" ma:fieldsID="1547d37c4ddd68ee45610fdc596b1e06" ns3:_="">
    <xsd:import namespace="a07e78e9-02c4-4d14-b169-20423a15594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7e78e9-02c4-4d14-b169-20423a1559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07e78e9-02c4-4d14-b169-20423a15594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F48F89A-E053-4CD4-8D3A-BB06F4CAB01F}"/>
</file>

<file path=customXml/itemProps2.xml><?xml version="1.0" encoding="utf-8"?>
<ds:datastoreItem xmlns:ds="http://schemas.openxmlformats.org/officeDocument/2006/customXml" ds:itemID="{FF70ED02-393C-4115-80BF-EFF89F060E51}"/>
</file>

<file path=customXml/itemProps3.xml><?xml version="1.0" encoding="utf-8"?>
<ds:datastoreItem xmlns:ds="http://schemas.openxmlformats.org/officeDocument/2006/customXml" ds:itemID="{D8F50622-30A6-497C-8469-7C2855862B22}"/>
</file>

<file path=docMetadata/LabelInfo.xml><?xml version="1.0" encoding="utf-8"?>
<clbl:labelList xmlns:clbl="http://schemas.microsoft.com/office/2020/mipLabelMetadata">
  <clbl:label id="{4b18ab9a-3765-4abe-ac7c-0e0d398afd4f}" enabled="0" method="" siteId="{4b18ab9a-3765-4abe-ac7c-0e0d398afd4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Coventry University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F1DIABLO</dc:creator>
  <cp:keywords/>
  <dc:description/>
  <cp:lastModifiedBy>Jassa Singh</cp:lastModifiedBy>
  <cp:revision/>
  <dcterms:created xsi:type="dcterms:W3CDTF">2020-06-30T09:54:15Z</dcterms:created>
  <dcterms:modified xsi:type="dcterms:W3CDTF">2025-04-01T18:44:45Z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Index=0;PlName=Mean Values;FileName=C:\Users\F1DIABLO\Documents\Master Excel\Run_Data.xls;StartingCell=Sheet1!$B$21">
    <vt:lpwstr>21 17 1 1 1 1 1 14 </vt:lpwstr>
  </property>
  <property fmtid="{D5CDD505-2E9C-101B-9397-08002B2CF9AE}" pid="3" name="PlIndex=0;PlName=Mean Values;FileName=C:\Users\F1DIABLO\Documents\Master Excel\Run_Data.xls;StartingCell=Sheet1!$B$2_info1">
    <vt:lpwstr>InLap=false;OutLap=false;ShortLap=false;ShortLapTime=50000000;PlacementType=BetweenEvents;OutingsCount=2;LapPerformance=Time;StartEvent=Begin Sample;EndEvent=End Sample;Orientation=Horizontal;OutingsHeadings=false;ChannelsHeadings=true;RepetativeHeadings=</vt:lpwstr>
  </property>
  <property fmtid="{D5CDD505-2E9C-101B-9397-08002B2CF9AE}" pid="4" name="PlIndex=0;PlName=Mean Values;FileName=C:\Users\F1DIABLO\Documents\Master Excel\Run_Data.xls;StartingCell=Sheet1!$B$2_info2">
    <vt:lpwstr>true;ChName=[0]Air Density;TellTale=mean;ChName=[14]Drag Force;TellTale=mean;ChName=[14]Side Force;TellTale=mean;ChName=[14]Lift Force;TellTale=mean;ChName=[15]Resolved Moment Roll;TellTale=mean;ChName=[15]Resolved Moment Pitch;TellTale=mean;ChName=[15]Re</vt:lpwstr>
  </property>
  <property fmtid="{D5CDD505-2E9C-101B-9397-08002B2CF9AE}" pid="5" name="PlIndex=0;PlName=Mean Values;FileName=C:\Users\F1DIABLO\Documents\Master Excel\Run_Data.xls;StartingCell=Sheet1!$B$2_info3">
    <vt:lpwstr>solved Moment Yaw;TellTale=mean;ChName=[8]Fan Speed;TellTale=mean;ChName=[9]Pressure Ambient Tunnel Hall;TellTale=mean;ChName=[4]Temperature Ambient Tunnel Hall;TellTale=mean;ChName=[4]Temperature Tunnel Air Temp;TellTale=mean;ChName=[3]Wind Speed Syn;Tel</vt:lpwstr>
  </property>
  <property fmtid="{D5CDD505-2E9C-101B-9397-08002B2CF9AE}" pid="6" name="PlIndex=0;PlName=Mean Values;FileName=C:\Users\F1DIABLO\Documents\Master Excel\Run_Data.xls;StartingCell=Sheet1!$B$2_info4">
    <vt:lpwstr>lTale=mean;ChName=[7]Pitch Angle Actual;TellTale=mean;ChName=[7]Yaw Angle Actual;TellTale=mean;</vt:lpwstr>
  </property>
  <property fmtid="{D5CDD505-2E9C-101B-9397-08002B2CF9AE}" pid="7" name="PlIndex=1;PlName=Pressure Scan Data;FileName=C:\Users\F1DIABLO\Documents\Master Excel\Run_Data.xls;StartingCell=Sheet2!$B$21">
    <vt:lpwstr>23 17 1 1 1 1 1 14 </vt:lpwstr>
  </property>
  <property fmtid="{D5CDD505-2E9C-101B-9397-08002B2CF9AE}" pid="8" name="PlIndex=1;PlName=Pressure Scan Data;FileName=C:\Users\F1DIABLO\Documents\Master Excel\Run_Data.xls;StartingCell=Sheet2!$B$2_info1">
    <vt:lpwstr>InLap=false;OutLap=false;ShortLap=false;ShortLapTime=50000000;PlacementType=BetweenEvents;OutingsCount=2;LapPerformance=Time;StartEvent=Begin Sample;EndEvent=End Sample;Orientation=Horizontal;OutingsHeadings=false;ChannelsHeadings=true;RepetativeHeadings=</vt:lpwstr>
  </property>
  <property fmtid="{D5CDD505-2E9C-101B-9397-08002B2CF9AE}" pid="9" name="PlIndex=1;PlName=Pressure Scan Data;FileName=C:\Users\F1DIABLO\Documents\Master Excel\Run_Data.xls;StartingCell=Sheet2!$B$2_info2">
    <vt:lpwstr>true;ChName=[9]ScanivalveDSA.Pressure 01;TellTale=mean;ChName=[9]ScanivalveDSA.Pressure 02;TellTale=mean;ChName=[9]ScanivalveDSA.Pressure 03;TellTale=mean;ChName=[9]ScanivalveDSA.Pressure 04;TellTale=mean;ChName=[9]ScanivalveDSA.Pressure 05;TellTale=mean;</vt:lpwstr>
  </property>
  <property fmtid="{D5CDD505-2E9C-101B-9397-08002B2CF9AE}" pid="10" name="PlIndex=1;PlName=Pressure Scan Data;FileName=C:\Users\F1DIABLO\Documents\Master Excel\Run_Data.xls;StartingCell=Sheet2!$B$2_info3">
    <vt:lpwstr>ChName=[9]ScanivalveDSA.Pressure 06;TellTale=mean;ChName=[9]ScanivalveDSA.Pressure 07;TellTale=mean;ChName=[9]ScanivalveDSA.Pressure 08;TellTale=mean;ChName=[9]ScanivalveDSA.Pressure 09;TellTale=mean;ChName=[9]ScanivalveDSA.Pressure 10;TellTale=mean;ChNam</vt:lpwstr>
  </property>
  <property fmtid="{D5CDD505-2E9C-101B-9397-08002B2CF9AE}" pid="11" name="PlIndex=1;PlName=Pressure Scan Data;FileName=C:\Users\F1DIABLO\Documents\Master Excel\Run_Data.xls;StartingCell=Sheet2!$B$2_info4">
    <vt:lpwstr>e=[9]ScanivalveDSA.Pressure 11;TellTale=mean;ChName=[9]ScanivalveDSA.Pressure 12;TellTale=mean;ChName=[9]ScanivalveDSA.Pressure 13;TellTale=mean;ChName=[9]ScanivalveDSA.Pressure 14;TellTale=mean;ChName=[9]ScanivalveDSA.Pressure 15;TellTale=mean;ChName=[9]</vt:lpwstr>
  </property>
  <property fmtid="{D5CDD505-2E9C-101B-9397-08002B2CF9AE}" pid="12" name="PlIndex=1;PlName=Pressure Scan Data;FileName=C:\Users\F1DIABLO\Documents\Master Excel\Run_Data.xls;StartingCell=Sheet2!$B$2_info5">
    <vt:lpwstr>ScanivalveDSA.Pressure 16;TellTale=mean;</vt:lpwstr>
  </property>
  <property fmtid="{D5CDD505-2E9C-101B-9397-08002B2CF9AE}" pid="13" name="PlIndex=1;PlName=Pressure Scan Data;FileName=C:\Users\F1DIABLO\Documents\Master Excel\Run_Data.xlsm;StartingCell=Sheet2!$B$21">
    <vt:lpwstr>39 7 1 1 5 </vt:lpwstr>
  </property>
  <property fmtid="{D5CDD505-2E9C-101B-9397-08002B2CF9AE}" pid="14" name="PlIndex=1;PlName=Pressure Scan Data;FileName=C:\Users\F1DIABLO\Documents\Master Excel\Run_Data.xlsm;StartingCell=Sheet2!$B$2_info1">
    <vt:lpwstr>InLap=false;OutLap=false;ShortLap=false;ShortLapTime=50000000;PlacementType=BetweenEvents;OutingsCount=1;LapPerformance=Time;StartEvent=Begin Sample;EndEvent=End Sample;Orientation=Horizontal;OutingsHeadings=false;ChannelsHeadings=true;RepetativeHeadings=</vt:lpwstr>
  </property>
  <property fmtid="{D5CDD505-2E9C-101B-9397-08002B2CF9AE}" pid="15" name="PlIndex=1;PlName=Pressure Scan Data;FileName=C:\Users\F1DIABLO\Documents\Master Excel\Run_Data.xlsm;StartingCell=Sheet2!$B$2_info2">
    <vt:lpwstr>true;ChName=[3]Wind Speed Syn;TellTale=mean;ChName=[0]Air Density;TellTale=mean;ChName=[9]ERAD.1.Pressure 01;TellTale=mean;ChName=[9]ERAD.1.Pressure 02;TellTale=mean;ChName=[9]ERAD.1.Pressure 03;TellTale=mean;ChName=[9]ERAD.1.Pressure 04;TellTale=mean;ChN</vt:lpwstr>
  </property>
  <property fmtid="{D5CDD505-2E9C-101B-9397-08002B2CF9AE}" pid="16" name="PlIndex=1;PlName=Pressure Scan Data;FileName=C:\Users\F1DIABLO\Documents\Master Excel\Run_Data.xlsm;StartingCell=Sheet2!$B$2_info3">
    <vt:lpwstr>ame=[9]ERAD.1.Pressure 05;TellTale=mean;ChName=[9]ERAD.1.Pressure 06;TellTale=mean;ChName=[9]ERAD.1.Pressure 07;TellTale=mean;ChName=[9]ERAD.1.Pressure 08;TellTale=mean;ChName=[9]ERAD.1.Pressure 09;TellTale=mean;ChName=[9]ERAD.1.Pressure 10;TellTale=mean;</vt:lpwstr>
  </property>
  <property fmtid="{D5CDD505-2E9C-101B-9397-08002B2CF9AE}" pid="17" name="PlIndex=1;PlName=Pressure Scan Data;FileName=C:\Users\F1DIABLO\Documents\Master Excel\Run_Data.xlsm;StartingCell=Sheet2!$B$2_info4">
    <vt:lpwstr>ChName=[9]ERAD.1.Pressure 11;TellTale=mean;ChName=[9]ERAD.1.Pressure 12;TellTale=mean;ChName=[9]ERAD.1.Pressure 13;TellTale=mean;ChName=[9]ERAD.1.Pressure 14;TellTale=mean;ChName=[9]ERAD.1.Pressure 15;TellTale=mean;ChName=[9]ERAD.1.Pressure 16;TellTale=me</vt:lpwstr>
  </property>
  <property fmtid="{D5CDD505-2E9C-101B-9397-08002B2CF9AE}" pid="18" name="PlIndex=1;PlName=Pressure Scan Data;FileName=C:\Users\F1DIABLO\Documents\Master Excel\Run_Data.xlsm;StartingCell=Sheet2!$B$2_info5">
    <vt:lpwstr>an;ChName=[9]ERAD.1.Pressure 17;TellTale=mean;ChName=[9]ERAD.1.Pressure 18;TellTale=mean;ChName=[9]ERAD.1.Pressure 19;TellTale=mean;ChName=[9]ERAD.1.Pressure 20;TellTale=mean;ChName=[9]ERAD.1.Pressure 21;TellTale=mean;ChName=[9]ERAD.1.Pressure 22;TellTale</vt:lpwstr>
  </property>
  <property fmtid="{D5CDD505-2E9C-101B-9397-08002B2CF9AE}" pid="19" name="PlIndex=1;PlName=Pressure Scan Data;FileName=C:\Users\F1DIABLO\Documents\Master Excel\Run_Data.xlsm;StartingCell=Sheet2!$B$2_info6">
    <vt:lpwstr>=mean;ChName=[9]ERAD.1.Pressure 23;TellTale=mean;ChName=[9]ERAD.1.Pressure 24;TellTale=mean;ChName=[9]ERAD.1.Pressure 25;TellTale=mean;ChName=[9]ERAD.1.Pressure 26;TellTale=mean;ChName=[9]ERAD.1.Pressure 27;TellTale=mean;ChName=[9]ERAD.1.Pressure 28;TellT</vt:lpwstr>
  </property>
  <property fmtid="{D5CDD505-2E9C-101B-9397-08002B2CF9AE}" pid="20" name="PlIndex=1;PlName=Pressure Scan Data;FileName=C:\Users\F1DIABLO\Documents\Master Excel\Run_Data.xlsm;StartingCell=Sheet2!$B$2_info7">
    <vt:lpwstr>ale=mean;ChName=[9]ERAD.1.Pressure 29;TellTale=mean;ChName=[9]ERAD.1.Pressure 30;TellTale=mean;</vt:lpwstr>
  </property>
  <property fmtid="{D5CDD505-2E9C-101B-9397-08002B2CF9AE}" pid="21" name="PlIndex=0;PlName=Mean Values;FileName=C:\Users\F1DIABLO\Documents\Master Excel\Run_Data.xlsm;StartingCell=Sheet1!$B$21">
    <vt:lpwstr>27 11 1 1 9 </vt:lpwstr>
  </property>
  <property fmtid="{D5CDD505-2E9C-101B-9397-08002B2CF9AE}" pid="22" name="PlIndex=0;PlName=Mean Values;FileName=C:\Users\F1DIABLO\Documents\Master Excel\Run_Data.xlsm;StartingCell=Sheet1!$B$2_info1">
    <vt:lpwstr>InLap=false;OutLap=false;ShortLap=false;ShortLapTime=50000000;PlacementType=BetweenEvents;OutingsCount=1;LapPerformance=Time;StartEvent=Begin Sample;EndEvent=End Sample;Orientation=Horizontal;OutingsHeadings=false;ChannelsHeadings=true;RepetativeHeadings=</vt:lpwstr>
  </property>
  <property fmtid="{D5CDD505-2E9C-101B-9397-08002B2CF9AE}" pid="23" name="PlIndex=0;PlName=Mean Values;FileName=C:\Users\F1DIABLO\Documents\Master Excel\Run_Data.xlsm;StartingCell=Sheet1!$B$2_info2">
    <vt:lpwstr>true;ChName=[3]Wind Speed Syn;TellTale=mean;ChName=[7]Yaw Angle Actual;TellTale=mean;ChName=[0]Pitch Actuator Actual;TellTale=mean;ChName=[0]Air Density;TellTale=mean;ChName=[9]Pressure Ambient Tunnel Hall;TellTale=mean;ChName=[4]Temperature Tunnel Air Te</vt:lpwstr>
  </property>
  <property fmtid="{D5CDD505-2E9C-101B-9397-08002B2CF9AE}" pid="24" name="PlIndex=0;PlName=Mean Values;FileName=C:\Users\F1DIABLO\Documents\Master Excel\Run_Data.xlsm;StartingCell=Sheet1!$B$2_info3">
    <vt:lpwstr>mp;TellTale=mean;ChName=[4]Temperature Ambient Tunnel Hall;TellTale=mean;ChName=[0]Dynamic Viscosity;TellTale=mean;ChName=[14]Drag Force;TellTale=mean;ChName=[14]Side Force;TellTale=mean;ChName=[14]Lift Force;TellTale=mean;ChName=[15]Roll Moment;TellTale=</vt:lpwstr>
  </property>
  <property fmtid="{D5CDD505-2E9C-101B-9397-08002B2CF9AE}" pid="25" name="PlIndex=0;PlName=Mean Values;FileName=C:\Users\F1DIABLO\Documents\Master Excel\Run_Data.xlsm;StartingCell=Sheet1!$B$2_info4">
    <vt:lpwstr>mean;ChName=[15]Pitch Moment;TellTale=mean;ChName=[15]Yaw Moment;TellTale=mean;ChName=[14]Resolved Force X;TellTale=mean;ChName=[14]Resolved Force Y;TellTale=mean;ChName=[14]Resolved Force Z;TellTale=mean;ChName=[15]Resolved Moment Roll;TellTale=mean;ChNa</vt:lpwstr>
  </property>
  <property fmtid="{D5CDD505-2E9C-101B-9397-08002B2CF9AE}" pid="26" name="PlIndex=0;PlName=Mean Values;FileName=C:\Users\F1DIABLO\Documents\Master Excel\Run_Data.xlsm;StartingCell=Sheet1!$B$2_info5">
    <vt:lpwstr>me=[15]Resolved Moment Pitch;TellTale=mean;ChName=[15]Resolved Moment Yaw;TellTale=mean;</vt:lpwstr>
  </property>
  <property fmtid="{D5CDD505-2E9C-101B-9397-08002B2CF9AE}" pid="27" name="ContentTypeId">
    <vt:lpwstr>0x010100DD3963084FD7684B9BA7EF2EE64AEBE5</vt:lpwstr>
  </property>
</Properties>
</file>