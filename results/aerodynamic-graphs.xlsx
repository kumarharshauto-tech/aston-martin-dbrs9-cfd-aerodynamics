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/>
  <mc:AlternateContent xmlns:mc="http://schemas.openxmlformats.org/markup-compatibility/2006">
    <mc:Choice Requires="x15">
      <x15ac:absPath xmlns:x15ac="http://schemas.microsoft.com/office/spreadsheetml/2010/11/ac" url="https://livecoventryac-my.sharepoint.com/personal/singhj208_uni_coventry_ac_uk/Documents/"/>
    </mc:Choice>
  </mc:AlternateContent>
  <xr:revisionPtr revIDLastSave="268" documentId="8_{D368BD05-FDE8-F54C-9E0A-4DD547A65546}" xr6:coauthVersionLast="47" xr6:coauthVersionMax="47" xr10:uidLastSave="{E8D721F2-3F96-432C-BCEC-CC835E28BAE2}"/>
  <bookViews>
    <workbookView xWindow="0" yWindow="760" windowWidth="29400" windowHeight="17060" firstSheet="2" activeTab="1" xr2:uid="{8D02267F-8DF1-6545-A7BB-6EA9407ADD5C}"/>
  </bookViews>
  <sheets>
    <sheet name="Conf 1" sheetId="3" r:id="rId1"/>
    <sheet name="Conf 2" sheetId="4" r:id="rId2"/>
    <sheet name="Conf 3" sheetId="5" r:id="rId3"/>
    <sheet name="Conf 4" sheetId="6" r:id="rId4"/>
    <sheet name="Graphs" sheetId="7" r:id="rId5"/>
    <sheet name="Lift coefficient" sheetId="1" r:id="rId6"/>
    <sheet name="Pitch moment coefficient" sheetId="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3" l="1"/>
  <c r="F39" i="3"/>
  <c r="G39" i="3"/>
  <c r="H39" i="3"/>
  <c r="I39" i="3"/>
  <c r="J39" i="3"/>
  <c r="K39" i="3"/>
  <c r="L39" i="3"/>
  <c r="D39" i="3"/>
  <c r="E33" i="3"/>
  <c r="F33" i="3"/>
  <c r="G33" i="3"/>
  <c r="H33" i="3"/>
  <c r="I33" i="3"/>
  <c r="J33" i="3"/>
  <c r="K33" i="3"/>
  <c r="L33" i="3"/>
  <c r="D33" i="3"/>
  <c r="E36" i="6"/>
  <c r="F36" i="6"/>
  <c r="G36" i="6"/>
  <c r="H36" i="6"/>
  <c r="I36" i="6"/>
  <c r="J36" i="6"/>
  <c r="K36" i="6"/>
  <c r="L36" i="6"/>
  <c r="D36" i="6"/>
  <c r="E36" i="5"/>
  <c r="F36" i="5"/>
  <c r="G36" i="5"/>
  <c r="H36" i="5"/>
  <c r="I36" i="5"/>
  <c r="J36" i="5"/>
  <c r="K36" i="5"/>
  <c r="L36" i="5"/>
  <c r="D36" i="5"/>
  <c r="E36" i="4"/>
  <c r="F36" i="4"/>
  <c r="G36" i="4"/>
  <c r="H36" i="4"/>
  <c r="I36" i="4"/>
  <c r="J36" i="4"/>
  <c r="K36" i="4"/>
  <c r="L36" i="4"/>
  <c r="D36" i="4"/>
  <c r="E36" i="3"/>
  <c r="F36" i="3"/>
  <c r="G36" i="3"/>
  <c r="H36" i="3"/>
  <c r="I36" i="3"/>
  <c r="J36" i="3"/>
  <c r="K36" i="3"/>
  <c r="L36" i="3"/>
  <c r="D36" i="3"/>
  <c r="E5" i="7"/>
  <c r="F5" i="7"/>
  <c r="G5" i="7"/>
  <c r="H5" i="7"/>
  <c r="I5" i="7"/>
  <c r="J5" i="7"/>
  <c r="K5" i="7"/>
  <c r="L5" i="7"/>
  <c r="D5" i="7"/>
  <c r="G45" i="6"/>
  <c r="F45" i="6"/>
  <c r="E45" i="6"/>
  <c r="H45" i="5"/>
  <c r="G45" i="5"/>
  <c r="F45" i="5"/>
  <c r="G45" i="3"/>
  <c r="H45" i="3"/>
  <c r="I45" i="3"/>
  <c r="J45" i="3"/>
  <c r="L44" i="6"/>
  <c r="L45" i="6" s="1"/>
  <c r="K44" i="6"/>
  <c r="K45" i="6" s="1"/>
  <c r="J44" i="6"/>
  <c r="J45" i="6" s="1"/>
  <c r="I44" i="6"/>
  <c r="I45" i="6" s="1"/>
  <c r="H44" i="6"/>
  <c r="H45" i="6" s="1"/>
  <c r="G44" i="6"/>
  <c r="F44" i="6"/>
  <c r="E44" i="6"/>
  <c r="D44" i="6"/>
  <c r="D45" i="6" s="1"/>
  <c r="L44" i="5"/>
  <c r="L45" i="5" s="1"/>
  <c r="K44" i="5"/>
  <c r="K45" i="5" s="1"/>
  <c r="J44" i="5"/>
  <c r="J45" i="5" s="1"/>
  <c r="I44" i="5"/>
  <c r="I45" i="5" s="1"/>
  <c r="H44" i="5"/>
  <c r="G44" i="5"/>
  <c r="F44" i="5"/>
  <c r="E44" i="5"/>
  <c r="E45" i="5" s="1"/>
  <c r="D44" i="5"/>
  <c r="D45" i="5" s="1"/>
  <c r="E44" i="4"/>
  <c r="E45" i="4" s="1"/>
  <c r="F44" i="4"/>
  <c r="F45" i="4" s="1"/>
  <c r="G44" i="4"/>
  <c r="G45" i="4" s="1"/>
  <c r="H44" i="4"/>
  <c r="H45" i="4" s="1"/>
  <c r="I44" i="4"/>
  <c r="I45" i="4" s="1"/>
  <c r="J44" i="4"/>
  <c r="J45" i="4" s="1"/>
  <c r="K44" i="4"/>
  <c r="K45" i="4" s="1"/>
  <c r="L44" i="4"/>
  <c r="L45" i="4" s="1"/>
  <c r="D44" i="4"/>
  <c r="D45" i="4" s="1"/>
  <c r="E44" i="3"/>
  <c r="E45" i="3" s="1"/>
  <c r="F44" i="3"/>
  <c r="F45" i="3" s="1"/>
  <c r="G44" i="3"/>
  <c r="H44" i="3"/>
  <c r="I44" i="3"/>
  <c r="J44" i="3"/>
  <c r="K44" i="3"/>
  <c r="K45" i="3" s="1"/>
  <c r="L44" i="3"/>
  <c r="L45" i="3" s="1"/>
  <c r="D44" i="3"/>
  <c r="D45" i="3" s="1"/>
</calcChain>
</file>

<file path=xl/sharedStrings.xml><?xml version="1.0" encoding="utf-8"?>
<sst xmlns="http://schemas.openxmlformats.org/spreadsheetml/2006/main" count="244" uniqueCount="53">
  <si>
    <t>Data Section</t>
  </si>
  <si>
    <t>Data Section Time (sec)</t>
  </si>
  <si>
    <t>Begin Sample</t>
  </si>
  <si>
    <t>Time s</t>
  </si>
  <si>
    <t>End Sample</t>
  </si>
  <si>
    <t>Wind Speed Syn (m/s)</t>
  </si>
  <si>
    <t>mean</t>
  </si>
  <si>
    <t>Yaw Angle Actual (°)</t>
  </si>
  <si>
    <t>Pitch Actuator Actual (user defined)</t>
  </si>
  <si>
    <t>Air Density (kg/m3)</t>
  </si>
  <si>
    <t>Pressure Ambient Tunnel Hall (mbar)</t>
  </si>
  <si>
    <t>Temperature Tunnel Air Temp (°C)</t>
  </si>
  <si>
    <t>Temperature Ambient Tunnel Hall (°C)</t>
  </si>
  <si>
    <t>Dynamic Viscosity (user defined)</t>
  </si>
  <si>
    <t>=D17/(0.5)*(D12)*(D9)*(D9))*0.042</t>
  </si>
  <si>
    <t>Drag Force (N)</t>
  </si>
  <si>
    <t>Side Force (N)</t>
  </si>
  <si>
    <t>Lift Force (N)</t>
  </si>
  <si>
    <t>Roll Moment (Nm)</t>
  </si>
  <si>
    <t>Pitch Moment (Nm)</t>
  </si>
  <si>
    <t>Yaw Moment (Nm)</t>
  </si>
  <si>
    <t>Resolved Force X (N)</t>
  </si>
  <si>
    <t>Resolved Force Y (N)</t>
  </si>
  <si>
    <t>Resolved Force Z (N)</t>
  </si>
  <si>
    <t>Resolved Moment Roll (Nm)</t>
  </si>
  <si>
    <t>Resolved Moment Pitch (Nm)</t>
  </si>
  <si>
    <t>Resolved Moment Yaw (Nm)</t>
  </si>
  <si>
    <t>Reynolds Number 1</t>
  </si>
  <si>
    <t>Drag Force (N) 1</t>
  </si>
  <si>
    <t>D</t>
  </si>
  <si>
    <t>Pitch Moment Coefficient 1</t>
  </si>
  <si>
    <t>Lift Force Coefficient 1</t>
  </si>
  <si>
    <t>Drag force Coefficient(without strut)</t>
  </si>
  <si>
    <t>Drag force after subtracting strut</t>
  </si>
  <si>
    <t>Drag Force Coefficient 1</t>
  </si>
  <si>
    <t>Re</t>
  </si>
  <si>
    <t>Reynolds Number 2</t>
  </si>
  <si>
    <t>Drag Force (N) 2</t>
  </si>
  <si>
    <t>Pitch Moment Coefficient 2</t>
  </si>
  <si>
    <t>Lift Force Coefficient 2</t>
  </si>
  <si>
    <t>Drag force Coefficient</t>
  </si>
  <si>
    <t>Drag Force Coefficient 2</t>
  </si>
  <si>
    <t>Reynolds Number 3</t>
  </si>
  <si>
    <t>Drag Force (N) 3</t>
  </si>
  <si>
    <t>Pitch Moment Coefficient 3</t>
  </si>
  <si>
    <t>Lift Force Coefficient 3</t>
  </si>
  <si>
    <t>Drag Force Coefficient 3</t>
  </si>
  <si>
    <t>Reynolds Number 4</t>
  </si>
  <si>
    <t>Drag Force (N) 4</t>
  </si>
  <si>
    <t>Pitch Moment Coefficient 4</t>
  </si>
  <si>
    <t>Lift Force Coefficient 4</t>
  </si>
  <si>
    <t>Drag Force Coefficient 4</t>
  </si>
  <si>
    <t>Re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</si>
</sst>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242424"/>
      <name val="Aptos Narrow"/>
      <scheme val="minor"/>
    </font>
    <font>
      <sz val="12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1" fontId="0" fillId="0" borderId="0" xfId="0" applyNumberFormat="1"/>
    <xf numFmtId="0" fontId="0" fillId="5" borderId="0" xfId="0" applyFill="1"/>
    <xf numFmtId="164" fontId="0" fillId="0" borderId="0" xfId="0" applyNumberFormat="1"/>
    <xf numFmtId="0" fontId="1" fillId="0" borderId="0" xfId="0" applyFont="1"/>
    <xf numFmtId="0" fontId="1" fillId="2" borderId="0" xfId="0" applyFont="1" applyFill="1"/>
    <xf numFmtId="0" fontId="2" fillId="2" borderId="0" xfId="0" applyFont="1" applyFill="1"/>
    <xf numFmtId="0" fontId="0" fillId="6" borderId="0" xfId="0" applyFill="1"/>
    <xf numFmtId="0" fontId="3" fillId="7" borderId="0" xfId="0" applyFont="1" applyFill="1"/>
    <xf numFmtId="0" fontId="0" fillId="8" borderId="0" xfId="0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Lift Coefficient vs Reynold's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Config_1</c:v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xVal>
            <c:numRef>
              <c:f>Graphs!$D$5:$L$5</c:f>
              <c:numCache>
                <c:formatCode>General</c:formatCode>
                <c:ptCount val="9"/>
                <c:pt idx="0">
                  <c:v>198073.81522499997</c:v>
                </c:pt>
                <c:pt idx="1">
                  <c:v>394843.407825</c:v>
                </c:pt>
                <c:pt idx="2">
                  <c:v>585267.87287499988</c:v>
                </c:pt>
                <c:pt idx="3">
                  <c:v>781260.64315000002</c:v>
                </c:pt>
                <c:pt idx="4">
                  <c:v>975684.36239999998</c:v>
                </c:pt>
                <c:pt idx="5">
                  <c:v>1168656.9922499999</c:v>
                </c:pt>
                <c:pt idx="6">
                  <c:v>1366280.2632500001</c:v>
                </c:pt>
                <c:pt idx="7">
                  <c:v>1566541.42775</c:v>
                </c:pt>
                <c:pt idx="8">
                  <c:v>1762483.5732499999</c:v>
                </c:pt>
              </c:numCache>
            </c:numRef>
          </c:xVal>
          <c:yVal>
            <c:numRef>
              <c:f>Graphs!$D$7:$L$7</c:f>
              <c:numCache>
                <c:formatCode>General</c:formatCode>
                <c:ptCount val="9"/>
                <c:pt idx="0">
                  <c:v>-0.25937023300000001</c:v>
                </c:pt>
                <c:pt idx="1">
                  <c:v>-0.26238925800000001</c:v>
                </c:pt>
                <c:pt idx="2">
                  <c:v>-0.300215756</c:v>
                </c:pt>
                <c:pt idx="3">
                  <c:v>-0.316066175</c:v>
                </c:pt>
                <c:pt idx="4">
                  <c:v>-0.33570182700000001</c:v>
                </c:pt>
                <c:pt idx="5">
                  <c:v>-0.33170905899999997</c:v>
                </c:pt>
                <c:pt idx="6">
                  <c:v>-0.34257283900000002</c:v>
                </c:pt>
                <c:pt idx="7">
                  <c:v>-0.33688701900000001</c:v>
                </c:pt>
                <c:pt idx="8">
                  <c:v>-0.31486232600000003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50-154E-B860-FB29B51E81C6}"/>
            </c:ext>
          </c:extLst>
        </c:ser>
        <c:ser>
          <c:idx val="1"/>
          <c:order val="1"/>
          <c:tx>
            <c:v>Config_2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Graphs!$D$5:$L$5</c:f>
              <c:numCache>
                <c:formatCode>General</c:formatCode>
                <c:ptCount val="9"/>
                <c:pt idx="0">
                  <c:v>198073.81522499997</c:v>
                </c:pt>
                <c:pt idx="1">
                  <c:v>394843.407825</c:v>
                </c:pt>
                <c:pt idx="2">
                  <c:v>585267.87287499988</c:v>
                </c:pt>
                <c:pt idx="3">
                  <c:v>781260.64315000002</c:v>
                </c:pt>
                <c:pt idx="4">
                  <c:v>975684.36239999998</c:v>
                </c:pt>
                <c:pt idx="5">
                  <c:v>1168656.9922499999</c:v>
                </c:pt>
                <c:pt idx="6">
                  <c:v>1366280.2632500001</c:v>
                </c:pt>
                <c:pt idx="7">
                  <c:v>1566541.42775</c:v>
                </c:pt>
                <c:pt idx="8">
                  <c:v>1762483.5732499999</c:v>
                </c:pt>
              </c:numCache>
            </c:numRef>
          </c:xVal>
          <c:yVal>
            <c:numRef>
              <c:f>Graphs!$D$8:$L$8</c:f>
              <c:numCache>
                <c:formatCode>General</c:formatCode>
                <c:ptCount val="9"/>
                <c:pt idx="0">
                  <c:v>-0.43436330099999998</c:v>
                </c:pt>
                <c:pt idx="1">
                  <c:v>-0.488914497</c:v>
                </c:pt>
                <c:pt idx="2">
                  <c:v>-0.52007713499999997</c:v>
                </c:pt>
                <c:pt idx="3">
                  <c:v>-0.53009417800000003</c:v>
                </c:pt>
                <c:pt idx="4">
                  <c:v>-0.54101447300000005</c:v>
                </c:pt>
                <c:pt idx="5">
                  <c:v>-0.54567916599999999</c:v>
                </c:pt>
                <c:pt idx="6">
                  <c:v>-0.55402598000000003</c:v>
                </c:pt>
                <c:pt idx="7">
                  <c:v>-0.55964584100000003</c:v>
                </c:pt>
                <c:pt idx="8">
                  <c:v>-0.57030819899999996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50-154E-B860-FB29B51E81C6}"/>
            </c:ext>
          </c:extLst>
        </c:ser>
        <c:ser>
          <c:idx val="2"/>
          <c:order val="2"/>
          <c:tx>
            <c:v>Config_3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Graphs!$D$5:$L$5</c:f>
              <c:numCache>
                <c:formatCode>General</c:formatCode>
                <c:ptCount val="9"/>
                <c:pt idx="0">
                  <c:v>198073.81522499997</c:v>
                </c:pt>
                <c:pt idx="1">
                  <c:v>394843.407825</c:v>
                </c:pt>
                <c:pt idx="2">
                  <c:v>585267.87287499988</c:v>
                </c:pt>
                <c:pt idx="3">
                  <c:v>781260.64315000002</c:v>
                </c:pt>
                <c:pt idx="4">
                  <c:v>975684.36239999998</c:v>
                </c:pt>
                <c:pt idx="5">
                  <c:v>1168656.9922499999</c:v>
                </c:pt>
                <c:pt idx="6">
                  <c:v>1366280.2632500001</c:v>
                </c:pt>
                <c:pt idx="7">
                  <c:v>1566541.42775</c:v>
                </c:pt>
                <c:pt idx="8">
                  <c:v>1762483.5732499999</c:v>
                </c:pt>
              </c:numCache>
            </c:numRef>
          </c:xVal>
          <c:yVal>
            <c:numRef>
              <c:f>Graphs!$D$9:$L$9</c:f>
              <c:numCache>
                <c:formatCode>General</c:formatCode>
                <c:ptCount val="9"/>
                <c:pt idx="0">
                  <c:v>-0.33033343999999998</c:v>
                </c:pt>
                <c:pt idx="1">
                  <c:v>-0.28791250400000001</c:v>
                </c:pt>
                <c:pt idx="2">
                  <c:v>-0.31910303800000001</c:v>
                </c:pt>
                <c:pt idx="3">
                  <c:v>-0.31496041899999999</c:v>
                </c:pt>
                <c:pt idx="4">
                  <c:v>-0.32588182700000001</c:v>
                </c:pt>
                <c:pt idx="5">
                  <c:v>-0.330842411</c:v>
                </c:pt>
                <c:pt idx="6">
                  <c:v>-0.33676188899999998</c:v>
                </c:pt>
                <c:pt idx="7">
                  <c:v>-0.33245464000000002</c:v>
                </c:pt>
                <c:pt idx="8">
                  <c:v>-0.30278647800000003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50-154E-B860-FB29B51E81C6}"/>
            </c:ext>
          </c:extLst>
        </c:ser>
        <c:ser>
          <c:idx val="3"/>
          <c:order val="3"/>
          <c:tx>
            <c:v>Config_4</c:v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Graphs!$D$5:$L$5</c:f>
              <c:numCache>
                <c:formatCode>General</c:formatCode>
                <c:ptCount val="9"/>
                <c:pt idx="0">
                  <c:v>198073.81522499997</c:v>
                </c:pt>
                <c:pt idx="1">
                  <c:v>394843.407825</c:v>
                </c:pt>
                <c:pt idx="2">
                  <c:v>585267.87287499988</c:v>
                </c:pt>
                <c:pt idx="3">
                  <c:v>781260.64315000002</c:v>
                </c:pt>
                <c:pt idx="4">
                  <c:v>975684.36239999998</c:v>
                </c:pt>
                <c:pt idx="5">
                  <c:v>1168656.9922499999</c:v>
                </c:pt>
                <c:pt idx="6">
                  <c:v>1366280.2632500001</c:v>
                </c:pt>
                <c:pt idx="7">
                  <c:v>1566541.42775</c:v>
                </c:pt>
                <c:pt idx="8">
                  <c:v>1762483.5732499999</c:v>
                </c:pt>
              </c:numCache>
            </c:numRef>
          </c:xVal>
          <c:yVal>
            <c:numRef>
              <c:f>Graphs!$D$10:$L$10</c:f>
              <c:numCache>
                <c:formatCode>General</c:formatCode>
                <c:ptCount val="9"/>
                <c:pt idx="0">
                  <c:v>-0.45557133</c:v>
                </c:pt>
                <c:pt idx="1">
                  <c:v>-0.45009220999999999</c:v>
                </c:pt>
                <c:pt idx="2">
                  <c:v>-0.47684388599999999</c:v>
                </c:pt>
                <c:pt idx="3">
                  <c:v>-0.48912825700000001</c:v>
                </c:pt>
                <c:pt idx="4">
                  <c:v>-0.49605640699999998</c:v>
                </c:pt>
                <c:pt idx="5">
                  <c:v>-0.49757732799999999</c:v>
                </c:pt>
                <c:pt idx="6">
                  <c:v>-0.50257195300000002</c:v>
                </c:pt>
                <c:pt idx="7">
                  <c:v>-0.506274424</c:v>
                </c:pt>
                <c:pt idx="8">
                  <c:v>-0.49472712800000002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D50-154E-B860-FB29B51E8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7515136"/>
        <c:axId val="1617520240"/>
      </c:scatterChart>
      <c:valAx>
        <c:axId val="1617515136"/>
        <c:scaling>
          <c:orientation val="minMax"/>
          <c:max val="200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Reynold's</a:t>
                </a:r>
                <a:r>
                  <a:rPr lang="en-GB" baseline="0"/>
                  <a:t> Number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520240"/>
        <c:crossesAt val="0"/>
        <c:crossBetween val="midCat"/>
        <c:majorUnit val="500000"/>
      </c:valAx>
      <c:valAx>
        <c:axId val="1617520240"/>
        <c:scaling>
          <c:orientation val="minMax"/>
          <c:max val="-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Lift</a:t>
                </a:r>
                <a:r>
                  <a:rPr lang="en-GB" baseline="0"/>
                  <a:t> Coeffient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515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Pitch Moment Coefficient vs Reynold's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Config_1</c:v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xVal>
            <c:numRef>
              <c:f>Graphs!$D$5:$L$5</c:f>
              <c:numCache>
                <c:formatCode>General</c:formatCode>
                <c:ptCount val="9"/>
                <c:pt idx="0">
                  <c:v>198073.81522499997</c:v>
                </c:pt>
                <c:pt idx="1">
                  <c:v>394843.407825</c:v>
                </c:pt>
                <c:pt idx="2">
                  <c:v>585267.87287499988</c:v>
                </c:pt>
                <c:pt idx="3">
                  <c:v>781260.64315000002</c:v>
                </c:pt>
                <c:pt idx="4">
                  <c:v>975684.36239999998</c:v>
                </c:pt>
                <c:pt idx="5">
                  <c:v>1168656.9922499999</c:v>
                </c:pt>
                <c:pt idx="6">
                  <c:v>1366280.2632500001</c:v>
                </c:pt>
                <c:pt idx="7">
                  <c:v>1566541.42775</c:v>
                </c:pt>
                <c:pt idx="8">
                  <c:v>1762483.5732499999</c:v>
                </c:pt>
              </c:numCache>
            </c:numRef>
          </c:xVal>
          <c:yVal>
            <c:numRef>
              <c:f>Graphs!$D$21:$L$21</c:f>
              <c:numCache>
                <c:formatCode>General</c:formatCode>
                <c:ptCount val="9"/>
                <c:pt idx="0">
                  <c:v>-0.39870085104071629</c:v>
                </c:pt>
                <c:pt idx="1">
                  <c:v>-0.38023706942879754</c:v>
                </c:pt>
                <c:pt idx="2">
                  <c:v>-0.36692930676427488</c:v>
                </c:pt>
                <c:pt idx="3">
                  <c:v>-0.38020859138037494</c:v>
                </c:pt>
                <c:pt idx="4">
                  <c:v>-0.39584574834985575</c:v>
                </c:pt>
                <c:pt idx="5">
                  <c:v>-0.41271777536452797</c:v>
                </c:pt>
                <c:pt idx="6">
                  <c:v>-0.41590777883365071</c:v>
                </c:pt>
                <c:pt idx="7">
                  <c:v>-0.41364577851329293</c:v>
                </c:pt>
                <c:pt idx="8">
                  <c:v>-0.43004039000339678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74-624A-942D-2B61B725BD39}"/>
            </c:ext>
          </c:extLst>
        </c:ser>
        <c:ser>
          <c:idx val="1"/>
          <c:order val="1"/>
          <c:tx>
            <c:v>Config_2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Graphs!$D$5:$L$5</c:f>
              <c:numCache>
                <c:formatCode>General</c:formatCode>
                <c:ptCount val="9"/>
                <c:pt idx="0">
                  <c:v>198073.81522499997</c:v>
                </c:pt>
                <c:pt idx="1">
                  <c:v>394843.407825</c:v>
                </c:pt>
                <c:pt idx="2">
                  <c:v>585267.87287499988</c:v>
                </c:pt>
                <c:pt idx="3">
                  <c:v>781260.64315000002</c:v>
                </c:pt>
                <c:pt idx="4">
                  <c:v>975684.36239999998</c:v>
                </c:pt>
                <c:pt idx="5">
                  <c:v>1168656.9922499999</c:v>
                </c:pt>
                <c:pt idx="6">
                  <c:v>1366280.2632500001</c:v>
                </c:pt>
                <c:pt idx="7">
                  <c:v>1566541.42775</c:v>
                </c:pt>
                <c:pt idx="8">
                  <c:v>1762483.5732499999</c:v>
                </c:pt>
              </c:numCache>
            </c:numRef>
          </c:xVal>
          <c:yVal>
            <c:numRef>
              <c:f>Graphs!$D$22:$L$22</c:f>
              <c:numCache>
                <c:formatCode>General</c:formatCode>
                <c:ptCount val="9"/>
                <c:pt idx="0">
                  <c:v>-0.33495920000000001</c:v>
                </c:pt>
                <c:pt idx="1">
                  <c:v>-0.28644209999999998</c:v>
                </c:pt>
                <c:pt idx="2">
                  <c:v>-0.28196520000000003</c:v>
                </c:pt>
                <c:pt idx="3">
                  <c:v>-0.28620630000000002</c:v>
                </c:pt>
                <c:pt idx="4">
                  <c:v>-0.29284840000000001</c:v>
                </c:pt>
                <c:pt idx="5">
                  <c:v>-0.30298449999999999</c:v>
                </c:pt>
                <c:pt idx="6">
                  <c:v>-0.31458320000000001</c:v>
                </c:pt>
                <c:pt idx="7">
                  <c:v>-0.329955</c:v>
                </c:pt>
                <c:pt idx="8">
                  <c:v>-0.33619830000000001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74-624A-942D-2B61B725BD39}"/>
            </c:ext>
          </c:extLst>
        </c:ser>
        <c:ser>
          <c:idx val="2"/>
          <c:order val="2"/>
          <c:tx>
            <c:v>Config_3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Graphs!$D$5:$L$5</c:f>
              <c:numCache>
                <c:formatCode>General</c:formatCode>
                <c:ptCount val="9"/>
                <c:pt idx="0">
                  <c:v>198073.81522499997</c:v>
                </c:pt>
                <c:pt idx="1">
                  <c:v>394843.407825</c:v>
                </c:pt>
                <c:pt idx="2">
                  <c:v>585267.87287499988</c:v>
                </c:pt>
                <c:pt idx="3">
                  <c:v>781260.64315000002</c:v>
                </c:pt>
                <c:pt idx="4">
                  <c:v>975684.36239999998</c:v>
                </c:pt>
                <c:pt idx="5">
                  <c:v>1168656.9922499999</c:v>
                </c:pt>
                <c:pt idx="6">
                  <c:v>1366280.2632500001</c:v>
                </c:pt>
                <c:pt idx="7">
                  <c:v>1566541.42775</c:v>
                </c:pt>
                <c:pt idx="8">
                  <c:v>1762483.5732499999</c:v>
                </c:pt>
              </c:numCache>
            </c:numRef>
          </c:xVal>
          <c:yVal>
            <c:numRef>
              <c:f>Graphs!$D$23:$L$23</c:f>
              <c:numCache>
                <c:formatCode>General</c:formatCode>
                <c:ptCount val="9"/>
                <c:pt idx="0">
                  <c:v>-0.38550427022716571</c:v>
                </c:pt>
                <c:pt idx="1">
                  <c:v>-0.37947173755237812</c:v>
                </c:pt>
                <c:pt idx="2">
                  <c:v>-0.36710531067547414</c:v>
                </c:pt>
                <c:pt idx="3">
                  <c:v>-0.38247960608059595</c:v>
                </c:pt>
                <c:pt idx="4">
                  <c:v>-0.39670256317274633</c:v>
                </c:pt>
                <c:pt idx="5">
                  <c:v>-0.40005124720581609</c:v>
                </c:pt>
                <c:pt idx="6">
                  <c:v>-0.41178065935381081</c:v>
                </c:pt>
                <c:pt idx="7">
                  <c:v>-0.41192158102999071</c:v>
                </c:pt>
                <c:pt idx="8">
                  <c:v>-0.43089281122559547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74-624A-942D-2B61B725BD39}"/>
            </c:ext>
          </c:extLst>
        </c:ser>
        <c:ser>
          <c:idx val="3"/>
          <c:order val="3"/>
          <c:tx>
            <c:v>Config_4</c:v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Graphs!$D$5:$L$5</c:f>
              <c:numCache>
                <c:formatCode>General</c:formatCode>
                <c:ptCount val="9"/>
                <c:pt idx="0">
                  <c:v>198073.81522499997</c:v>
                </c:pt>
                <c:pt idx="1">
                  <c:v>394843.407825</c:v>
                </c:pt>
                <c:pt idx="2">
                  <c:v>585267.87287499988</c:v>
                </c:pt>
                <c:pt idx="3">
                  <c:v>781260.64315000002</c:v>
                </c:pt>
                <c:pt idx="4">
                  <c:v>975684.36239999998</c:v>
                </c:pt>
                <c:pt idx="5">
                  <c:v>1168656.9922499999</c:v>
                </c:pt>
                <c:pt idx="6">
                  <c:v>1366280.2632500001</c:v>
                </c:pt>
                <c:pt idx="7">
                  <c:v>1566541.42775</c:v>
                </c:pt>
                <c:pt idx="8">
                  <c:v>1762483.5732499999</c:v>
                </c:pt>
              </c:numCache>
            </c:numRef>
          </c:xVal>
          <c:yVal>
            <c:numRef>
              <c:f>Graphs!$D$24:$L$24</c:f>
              <c:numCache>
                <c:formatCode>General</c:formatCode>
                <c:ptCount val="9"/>
                <c:pt idx="0">
                  <c:v>-0.32470932630530575</c:v>
                </c:pt>
                <c:pt idx="1">
                  <c:v>-0.28598893137394316</c:v>
                </c:pt>
                <c:pt idx="2">
                  <c:v>-0.27999521189589033</c:v>
                </c:pt>
                <c:pt idx="3">
                  <c:v>-0.28036010060693461</c:v>
                </c:pt>
                <c:pt idx="4">
                  <c:v>-0.29005624311178707</c:v>
                </c:pt>
                <c:pt idx="5">
                  <c:v>-0.29735611628769104</c:v>
                </c:pt>
                <c:pt idx="6">
                  <c:v>-0.30904933237616916</c:v>
                </c:pt>
                <c:pt idx="7">
                  <c:v>-0.31262820938785785</c:v>
                </c:pt>
                <c:pt idx="8">
                  <c:v>-0.31998960242231095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C74-624A-942D-2B61B725B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701551"/>
        <c:axId val="572845088"/>
      </c:scatterChart>
      <c:valAx>
        <c:axId val="583701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Reynold's</a:t>
                </a:r>
                <a:r>
                  <a:rPr lang="en-GB" baseline="0"/>
                  <a:t> Number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845088"/>
        <c:crosses val="autoZero"/>
        <c:crossBetween val="midCat"/>
        <c:majorUnit val="500000"/>
      </c:valAx>
      <c:valAx>
        <c:axId val="572845088"/>
        <c:scaling>
          <c:orientation val="minMax"/>
          <c:max val="-0.2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Ptch</a:t>
                </a:r>
                <a:r>
                  <a:rPr lang="en-GB" baseline="0"/>
                  <a:t> Moment Coefficient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701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1450485</xdr:colOff>
      <xdr:row>28</xdr:row>
      <xdr:rowOff>10746</xdr:rowOff>
    </xdr:from>
    <xdr:to>
      <xdr:col>10</xdr:col>
      <xdr:colOff>331909</xdr:colOff>
      <xdr:row>49</xdr:row>
      <xdr:rowOff>185616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737C60-AC89-0DC2-35DA-83E93C4F1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790648</xdr:colOff>
      <xdr:row>28</xdr:row>
      <xdr:rowOff>42530</xdr:rowOff>
    </xdr:from>
    <xdr:to>
      <xdr:col>20</xdr:col>
      <xdr:colOff>825500</xdr:colOff>
      <xdr:row>50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2EB17D-A078-B2A1-6CD8-5B7CAA4BDE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242CD-7E29-BA46-93E6-42D5E8789B83}">
  <dimension ref="A3:O45"/>
  <sheetViews>
    <sheetView topLeftCell="A43" zoomScale="109" zoomScaleNormal="130" workbookViewId="0">
      <selection activeCell="E38" sqref="E38"/>
    </sheetView>
  </sheetViews>
  <sheetFormatPr defaultColWidth="11" defaultRowHeight="15.95"/>
  <cols>
    <col min="2" max="2" width="27.125" customWidth="1"/>
    <col min="4" max="4" width="29" customWidth="1"/>
    <col min="5" max="5" width="14.625" customWidth="1"/>
    <col min="6" max="6" width="16" customWidth="1"/>
    <col min="7" max="7" width="15.625" customWidth="1"/>
    <col min="8" max="8" width="13.875" customWidth="1"/>
    <col min="9" max="9" width="15.125" customWidth="1"/>
    <col min="10" max="10" width="16.625" customWidth="1"/>
    <col min="11" max="11" width="15.875" customWidth="1"/>
    <col min="12" max="12" width="16.375" customWidth="1"/>
  </cols>
  <sheetData>
    <row r="3" spans="2:14">
      <c r="B3" t="s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</row>
    <row r="4" spans="2:14">
      <c r="B4" t="s">
        <v>1</v>
      </c>
      <c r="D4">
        <v>381.14499999999998</v>
      </c>
      <c r="E4">
        <v>381.14499999999998</v>
      </c>
      <c r="F4">
        <v>381.14499999999998</v>
      </c>
      <c r="G4">
        <v>381.14499999999998</v>
      </c>
      <c r="H4">
        <v>381.14499999999998</v>
      </c>
      <c r="I4">
        <v>381.14499999999998</v>
      </c>
      <c r="J4">
        <v>381.14499999999998</v>
      </c>
      <c r="K4">
        <v>381.14499999999998</v>
      </c>
      <c r="L4">
        <v>381.14499999999998</v>
      </c>
    </row>
    <row r="5" spans="2:14">
      <c r="B5" t="s">
        <v>2</v>
      </c>
      <c r="C5" t="s">
        <v>3</v>
      </c>
      <c r="D5">
        <v>73.5</v>
      </c>
      <c r="E5">
        <v>108.6</v>
      </c>
      <c r="F5">
        <v>138.6</v>
      </c>
      <c r="G5">
        <v>178.6</v>
      </c>
      <c r="H5">
        <v>238.5</v>
      </c>
      <c r="I5">
        <v>268.8</v>
      </c>
      <c r="J5">
        <v>304</v>
      </c>
      <c r="K5">
        <v>333.8</v>
      </c>
      <c r="L5">
        <v>362.1</v>
      </c>
    </row>
    <row r="6" spans="2:14">
      <c r="B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2:14">
      <c r="B7" t="s">
        <v>1</v>
      </c>
      <c r="D7">
        <v>381.14499999999998</v>
      </c>
      <c r="E7">
        <v>381.14499999999998</v>
      </c>
      <c r="F7">
        <v>381.14499999999998</v>
      </c>
      <c r="G7">
        <v>381.14499999999998</v>
      </c>
      <c r="H7">
        <v>381.14499999999998</v>
      </c>
      <c r="I7">
        <v>381.14499999999998</v>
      </c>
      <c r="J7">
        <v>381.14499999999998</v>
      </c>
      <c r="K7">
        <v>381.14499999999998</v>
      </c>
      <c r="L7">
        <v>381.14499999999998</v>
      </c>
    </row>
    <row r="8" spans="2:14">
      <c r="B8" t="s">
        <v>4</v>
      </c>
      <c r="C8" t="s">
        <v>3</v>
      </c>
      <c r="D8">
        <v>79.7</v>
      </c>
      <c r="E8">
        <v>115.3</v>
      </c>
      <c r="F8">
        <v>144.9</v>
      </c>
      <c r="G8">
        <v>185.1</v>
      </c>
      <c r="H8">
        <v>244.9</v>
      </c>
      <c r="I8">
        <v>275</v>
      </c>
      <c r="J8">
        <v>310.10000000000002</v>
      </c>
      <c r="K8">
        <v>339.9</v>
      </c>
      <c r="L8">
        <v>368.3</v>
      </c>
    </row>
    <row r="9" spans="2:14">
      <c r="B9" s="1" t="s">
        <v>5</v>
      </c>
      <c r="C9" s="1" t="s">
        <v>6</v>
      </c>
      <c r="D9" s="1">
        <v>5.0829874549999996</v>
      </c>
      <c r="E9" s="1">
        <v>10.060355680000001</v>
      </c>
      <c r="F9" s="1">
        <v>15.0230777</v>
      </c>
      <c r="G9" s="1">
        <v>20.00403129</v>
      </c>
      <c r="H9" s="1">
        <v>24.951973429999999</v>
      </c>
      <c r="I9" s="1">
        <v>29.8918243</v>
      </c>
      <c r="J9" s="1">
        <v>35.027130839999998</v>
      </c>
      <c r="K9" s="1">
        <v>40.293065230000003</v>
      </c>
      <c r="L9" s="1">
        <v>45.322245709999997</v>
      </c>
    </row>
    <row r="10" spans="2:14">
      <c r="B10" t="s">
        <v>7</v>
      </c>
      <c r="C10" t="s">
        <v>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2:14">
      <c r="B11" t="s">
        <v>8</v>
      </c>
      <c r="C11" t="s">
        <v>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2:14">
      <c r="B12" t="s">
        <v>9</v>
      </c>
      <c r="C12" t="s">
        <v>6</v>
      </c>
      <c r="D12">
        <v>1.185023527</v>
      </c>
      <c r="E12">
        <v>1.185545587</v>
      </c>
      <c r="F12">
        <v>1.185551974</v>
      </c>
      <c r="G12">
        <v>1.1847211440000001</v>
      </c>
      <c r="H12">
        <v>1.185593452</v>
      </c>
      <c r="I12">
        <v>1.187141827</v>
      </c>
      <c r="J12">
        <v>1.185028183</v>
      </c>
      <c r="K12">
        <v>1.1816211350000001</v>
      </c>
      <c r="L12">
        <v>1.180495976</v>
      </c>
      <c r="N12">
        <v>198661.73050000001</v>
      </c>
    </row>
    <row r="13" spans="2:14">
      <c r="B13" t="s">
        <v>10</v>
      </c>
      <c r="C13" t="s">
        <v>6</v>
      </c>
      <c r="D13">
        <v>1013.791248</v>
      </c>
      <c r="E13">
        <v>1013.801521</v>
      </c>
      <c r="F13">
        <v>1013.801893</v>
      </c>
      <c r="G13">
        <v>1013.753597</v>
      </c>
      <c r="H13">
        <v>1013.751809</v>
      </c>
      <c r="I13">
        <v>1013.746785</v>
      </c>
      <c r="J13">
        <v>1013.752079</v>
      </c>
      <c r="K13">
        <v>1013.734602</v>
      </c>
      <c r="L13">
        <v>1013.75176</v>
      </c>
    </row>
    <row r="14" spans="2:14">
      <c r="B14" t="s">
        <v>11</v>
      </c>
      <c r="C14" t="s">
        <v>6</v>
      </c>
      <c r="D14">
        <v>24.882767479999998</v>
      </c>
      <c r="E14">
        <v>24.75454697</v>
      </c>
      <c r="F14">
        <v>24.753051249999999</v>
      </c>
      <c r="G14">
        <v>24.947766250000001</v>
      </c>
      <c r="H14">
        <v>24.727917990000002</v>
      </c>
      <c r="I14">
        <v>24.337919769999999</v>
      </c>
      <c r="J14">
        <v>24.870089700000001</v>
      </c>
      <c r="K14">
        <v>25.724237039999998</v>
      </c>
      <c r="L14">
        <v>26.014158930000001</v>
      </c>
    </row>
    <row r="15" spans="2:14">
      <c r="B15" t="s">
        <v>12</v>
      </c>
      <c r="C15" t="s">
        <v>6</v>
      </c>
      <c r="D15">
        <v>22.004205679999998</v>
      </c>
      <c r="E15">
        <v>21.983527859999999</v>
      </c>
      <c r="F15">
        <v>21.987720070000002</v>
      </c>
      <c r="G15">
        <v>21.964005709999999</v>
      </c>
      <c r="H15">
        <v>21.918800999999998</v>
      </c>
      <c r="I15">
        <v>21.893618969999999</v>
      </c>
      <c r="J15">
        <v>21.840134379999999</v>
      </c>
      <c r="K15">
        <v>21.801748610000001</v>
      </c>
      <c r="L15">
        <v>21.778005650000001</v>
      </c>
    </row>
    <row r="16" spans="2:14">
      <c r="B16" t="s">
        <v>13</v>
      </c>
      <c r="C16" t="s">
        <v>6</v>
      </c>
      <c r="D16">
        <v>1.8495299999999999E-5</v>
      </c>
      <c r="E16" s="4">
        <v>1.8495299999999999E-5</v>
      </c>
      <c r="F16" s="4">
        <v>1.8495299999999999E-5</v>
      </c>
      <c r="G16" s="4">
        <v>1.8495299999999999E-5</v>
      </c>
      <c r="H16" s="4">
        <v>1.8495299999999999E-5</v>
      </c>
      <c r="I16" s="4">
        <v>1.8495299999999999E-5</v>
      </c>
      <c r="J16" s="4">
        <v>1.8495299999999999E-5</v>
      </c>
      <c r="K16" s="4">
        <v>1.8495299999999999E-5</v>
      </c>
      <c r="L16" s="4">
        <v>1.8495299999999999E-5</v>
      </c>
      <c r="N16" t="s">
        <v>14</v>
      </c>
    </row>
    <row r="17" spans="2:15">
      <c r="B17" s="1" t="s">
        <v>15</v>
      </c>
      <c r="C17" s="1" t="s">
        <v>6</v>
      </c>
      <c r="D17" s="1">
        <v>0.32737089699999999</v>
      </c>
      <c r="E17" s="1">
        <v>1.213288465</v>
      </c>
      <c r="F17" s="1">
        <v>2.82711136</v>
      </c>
      <c r="G17" s="1">
        <v>5.2533243199999999</v>
      </c>
      <c r="H17" s="1">
        <v>8.6803004169999998</v>
      </c>
      <c r="I17" s="1">
        <v>12.52181047</v>
      </c>
      <c r="J17" s="1">
        <v>17.69504564</v>
      </c>
      <c r="K17" s="1">
        <v>23.20459997</v>
      </c>
      <c r="L17" s="1">
        <v>29.69362688</v>
      </c>
    </row>
    <row r="18" spans="2:15">
      <c r="B18" t="s">
        <v>16</v>
      </c>
      <c r="C18" t="s">
        <v>6</v>
      </c>
      <c r="D18">
        <v>3.6888945999999999E-2</v>
      </c>
      <c r="E18">
        <v>6.5061493999999997E-2</v>
      </c>
      <c r="F18">
        <v>0.15564049099999999</v>
      </c>
      <c r="G18">
        <v>0.23674755</v>
      </c>
      <c r="H18">
        <v>0.36655466199999998</v>
      </c>
      <c r="I18">
        <v>0.55876366200000005</v>
      </c>
      <c r="J18">
        <v>0.56203086499999999</v>
      </c>
      <c r="K18">
        <v>0.64019836500000005</v>
      </c>
      <c r="L18">
        <v>0.8936965</v>
      </c>
    </row>
    <row r="19" spans="2:15">
      <c r="B19" t="s">
        <v>17</v>
      </c>
      <c r="C19" t="s">
        <v>6</v>
      </c>
      <c r="D19">
        <v>-0.166764834</v>
      </c>
      <c r="E19">
        <v>-0.66116564</v>
      </c>
      <c r="F19">
        <v>-1.686907232</v>
      </c>
      <c r="G19">
        <v>-3.1466504820000001</v>
      </c>
      <c r="H19">
        <v>-5.2037759650000002</v>
      </c>
      <c r="I19">
        <v>-7.388972925</v>
      </c>
      <c r="J19">
        <v>-10.45947846</v>
      </c>
      <c r="K19">
        <v>-13.5719558</v>
      </c>
      <c r="L19">
        <v>-16.0334635</v>
      </c>
      <c r="N19">
        <v>8.9816099999999997E-4</v>
      </c>
      <c r="O19">
        <v>9.9160599999999991E-4</v>
      </c>
    </row>
    <row r="20" spans="2:15">
      <c r="B20" t="s">
        <v>18</v>
      </c>
      <c r="C20" t="s">
        <v>6</v>
      </c>
      <c r="D20">
        <v>2.5341975999999999E-2</v>
      </c>
      <c r="E20">
        <v>6.9933437000000001E-2</v>
      </c>
      <c r="F20">
        <v>0.19200635999999999</v>
      </c>
      <c r="G20">
        <v>0.29662963199999998</v>
      </c>
      <c r="H20">
        <v>0.44986979900000001</v>
      </c>
      <c r="I20">
        <v>0.67950188199999995</v>
      </c>
      <c r="J20">
        <v>0.69020326600000004</v>
      </c>
      <c r="K20">
        <v>0.85410124200000004</v>
      </c>
      <c r="L20">
        <v>1.207550876</v>
      </c>
    </row>
    <row r="21" spans="2:15">
      <c r="B21" t="s">
        <v>19</v>
      </c>
      <c r="C21" t="s">
        <v>6</v>
      </c>
      <c r="D21">
        <v>-0.43886590399999997</v>
      </c>
      <c r="E21">
        <v>-1.6290819569999999</v>
      </c>
      <c r="F21">
        <v>-3.741317682</v>
      </c>
      <c r="G21">
        <v>-6.9373975720000001</v>
      </c>
      <c r="H21">
        <v>-11.42507251</v>
      </c>
      <c r="I21">
        <v>-16.590687039999999</v>
      </c>
      <c r="J21">
        <v>-23.351136029999999</v>
      </c>
      <c r="K21">
        <v>-30.62558636</v>
      </c>
      <c r="L21">
        <v>-39.37359842</v>
      </c>
      <c r="N21">
        <v>530.3681709</v>
      </c>
    </row>
    <row r="22" spans="2:15">
      <c r="B22" t="s">
        <v>20</v>
      </c>
      <c r="C22" t="s">
        <v>6</v>
      </c>
      <c r="D22">
        <v>1.4256398E-2</v>
      </c>
      <c r="E22">
        <v>2.3681088999999999E-2</v>
      </c>
      <c r="F22">
        <v>2.5085203E-2</v>
      </c>
      <c r="G22">
        <v>1.9307883000000001E-2</v>
      </c>
      <c r="H22">
        <v>-2.8091095E-2</v>
      </c>
      <c r="I22">
        <v>-5.7953088999999999E-2</v>
      </c>
      <c r="J22">
        <v>-9.1293690999999996E-2</v>
      </c>
      <c r="K22">
        <v>-8.3812441000000001E-2</v>
      </c>
      <c r="L22">
        <v>-5.0171970000000003E-2</v>
      </c>
      <c r="N22">
        <v>15.3085851</v>
      </c>
    </row>
    <row r="23" spans="2:15">
      <c r="B23" t="s">
        <v>21</v>
      </c>
      <c r="C23" t="s">
        <v>6</v>
      </c>
      <c r="D23">
        <v>0.32737082099999998</v>
      </c>
      <c r="E23">
        <v>1.2132883299999999</v>
      </c>
      <c r="F23">
        <v>2.827111038</v>
      </c>
      <c r="G23">
        <v>5.2533238310000003</v>
      </c>
      <c r="H23">
        <v>8.6802996599999993</v>
      </c>
      <c r="I23">
        <v>12.521809319999999</v>
      </c>
      <c r="J23">
        <v>17.69504448</v>
      </c>
      <c r="K23">
        <v>23.20459864</v>
      </c>
      <c r="L23">
        <v>29.69362503</v>
      </c>
    </row>
    <row r="24" spans="2:15">
      <c r="B24" t="s">
        <v>22</v>
      </c>
      <c r="C24" t="s">
        <v>6</v>
      </c>
      <c r="D24">
        <v>3.6889623000000003E-2</v>
      </c>
      <c r="E24">
        <v>6.5063999999999997E-2</v>
      </c>
      <c r="F24">
        <v>0.155646331</v>
      </c>
      <c r="G24">
        <v>0.23675840200000001</v>
      </c>
      <c r="H24">
        <v>0.366572593</v>
      </c>
      <c r="I24">
        <v>0.55878952900000001</v>
      </c>
      <c r="J24">
        <v>0.56206741900000001</v>
      </c>
      <c r="K24">
        <v>0.64024630000000005</v>
      </c>
      <c r="L24">
        <v>0.89375783900000005</v>
      </c>
    </row>
    <row r="25" spans="2:15">
      <c r="B25" t="s">
        <v>23</v>
      </c>
      <c r="C25" t="s">
        <v>6</v>
      </c>
      <c r="D25">
        <v>-0.166764834</v>
      </c>
      <c r="E25">
        <v>-0.66116564</v>
      </c>
      <c r="F25">
        <v>-1.686907232</v>
      </c>
      <c r="G25">
        <v>-3.1466504820000001</v>
      </c>
      <c r="H25">
        <v>-5.2037759650000002</v>
      </c>
      <c r="I25">
        <v>-7.388972925</v>
      </c>
      <c r="J25">
        <v>-10.45947846</v>
      </c>
      <c r="K25">
        <v>-13.5719558</v>
      </c>
      <c r="L25">
        <v>-16.0334635</v>
      </c>
      <c r="N25">
        <v>0.56213468499999997</v>
      </c>
    </row>
    <row r="26" spans="2:15">
      <c r="B26" t="s">
        <v>24</v>
      </c>
      <c r="C26" t="s">
        <v>6</v>
      </c>
      <c r="D26">
        <v>-1.4866806E-2</v>
      </c>
      <c r="E26">
        <v>-9.8295799999999992E-4</v>
      </c>
      <c r="F26">
        <v>2.2359588E-2</v>
      </c>
      <c r="G26">
        <v>3.8577304999999999E-2</v>
      </c>
      <c r="H26">
        <v>5.0329274E-2</v>
      </c>
      <c r="I26">
        <v>7.0455566999999997E-2</v>
      </c>
      <c r="J26">
        <v>7.7598017000000005E-2</v>
      </c>
      <c r="K26">
        <v>0.156296039</v>
      </c>
      <c r="L26">
        <v>0.233436167</v>
      </c>
    </row>
    <row r="27" spans="2:15">
      <c r="B27" t="s">
        <v>25</v>
      </c>
      <c r="C27" t="s">
        <v>6</v>
      </c>
      <c r="D27">
        <v>-8.2031656999999994E-2</v>
      </c>
      <c r="E27">
        <v>-0.30659753299999998</v>
      </c>
      <c r="F27">
        <v>-0.659766254</v>
      </c>
      <c r="G27">
        <v>-1.2112739830000001</v>
      </c>
      <c r="H27">
        <v>-1.963544953</v>
      </c>
      <c r="I27">
        <v>-2.9419134759999999</v>
      </c>
      <c r="J27">
        <v>-4.0635361210000003</v>
      </c>
      <c r="K27">
        <v>-5.3325720700000003</v>
      </c>
      <c r="L27">
        <v>-7.0075446399999999</v>
      </c>
    </row>
    <row r="28" spans="2:15">
      <c r="B28" t="s">
        <v>26</v>
      </c>
      <c r="C28" t="s">
        <v>6</v>
      </c>
      <c r="D28">
        <v>1.4256398E-2</v>
      </c>
      <c r="E28">
        <v>2.3681088999999999E-2</v>
      </c>
      <c r="F28">
        <v>2.5085203E-2</v>
      </c>
      <c r="G28">
        <v>1.9307883000000001E-2</v>
      </c>
      <c r="H28">
        <v>-2.8091095E-2</v>
      </c>
      <c r="I28">
        <v>-5.7953088999999999E-2</v>
      </c>
      <c r="J28">
        <v>-9.1293690999999996E-2</v>
      </c>
      <c r="K28">
        <v>-8.3812441000000001E-2</v>
      </c>
      <c r="L28">
        <v>-5.0171970000000003E-2</v>
      </c>
    </row>
    <row r="30" spans="2:15">
      <c r="D30">
        <v>0.32737089699999999</v>
      </c>
      <c r="E30">
        <v>1.213288465</v>
      </c>
      <c r="F30">
        <v>2.82711136</v>
      </c>
      <c r="G30">
        <v>5.2533243199999999</v>
      </c>
      <c r="H30">
        <v>8.6803004169999998</v>
      </c>
      <c r="I30">
        <v>12.52181047</v>
      </c>
      <c r="J30">
        <v>17.69504564</v>
      </c>
      <c r="K30">
        <v>23.20459997</v>
      </c>
      <c r="L30">
        <v>29.69362688</v>
      </c>
    </row>
    <row r="31" spans="2:15">
      <c r="B31" s="1" t="s">
        <v>27</v>
      </c>
      <c r="C31" s="1"/>
      <c r="D31" s="1">
        <v>198661.73050000001</v>
      </c>
      <c r="E31" s="1">
        <v>393368.69689999998</v>
      </c>
      <c r="F31" s="1">
        <v>587418.62849999999</v>
      </c>
      <c r="G31" s="1">
        <v>781631.16700000002</v>
      </c>
      <c r="H31" s="1">
        <v>975683.35279999999</v>
      </c>
      <c r="I31" s="1">
        <v>1170370.1359999999</v>
      </c>
      <c r="J31" s="1">
        <v>1368993.693</v>
      </c>
      <c r="K31" s="1">
        <v>1570278.777</v>
      </c>
      <c r="L31" s="1">
        <v>1764591.307</v>
      </c>
    </row>
    <row r="32" spans="2:15">
      <c r="B32" t="s">
        <v>28</v>
      </c>
      <c r="C32" t="s">
        <v>6</v>
      </c>
      <c r="D32">
        <v>0.32737089699999999</v>
      </c>
      <c r="E32">
        <v>1.213288465</v>
      </c>
      <c r="F32">
        <v>2.82711136</v>
      </c>
      <c r="G32">
        <v>5.2533243199999999</v>
      </c>
      <c r="H32">
        <v>8.6803004169999998</v>
      </c>
      <c r="I32">
        <v>12.52181047</v>
      </c>
      <c r="J32">
        <v>17.69504564</v>
      </c>
      <c r="K32">
        <v>23.20459997</v>
      </c>
      <c r="L32">
        <v>29.69362688</v>
      </c>
    </row>
    <row r="33" spans="1:12">
      <c r="D33" s="12">
        <f>(D12*D9*0.61)/D16</f>
        <v>198661.84545201866</v>
      </c>
      <c r="E33" s="12">
        <f t="shared" ref="E33:L33" si="0">(E12*E9*0.61)/E16</f>
        <v>393368.92458329274</v>
      </c>
      <c r="F33" s="12">
        <f t="shared" si="0"/>
        <v>587418.96848940721</v>
      </c>
      <c r="G33" s="12">
        <f t="shared" si="0"/>
        <v>781631.61933276907</v>
      </c>
      <c r="H33" s="12">
        <f t="shared" si="0"/>
        <v>975683.91704824718</v>
      </c>
      <c r="I33" s="12">
        <f t="shared" si="0"/>
        <v>1170370.8129220747</v>
      </c>
      <c r="J33" s="12">
        <f t="shared" si="0"/>
        <v>1368994.4851485167</v>
      </c>
      <c r="K33" s="12">
        <f t="shared" si="0"/>
        <v>1570279.6849209261</v>
      </c>
      <c r="L33" s="12">
        <f t="shared" si="0"/>
        <v>1764592.3287106638</v>
      </c>
    </row>
    <row r="35" spans="1:12">
      <c r="B35" t="s">
        <v>29</v>
      </c>
    </row>
    <row r="36" spans="1:12">
      <c r="B36" s="1" t="s">
        <v>30</v>
      </c>
      <c r="C36" s="1"/>
      <c r="D36" s="1">
        <f>D27/(0.5*D12*(D9*D9)*0.042*0.32)</f>
        <v>-0.39870085104071629</v>
      </c>
      <c r="E36" s="1">
        <f t="shared" ref="E36:L36" si="1">E27/(0.5*E12*(E9*E9)*0.042*0.32)</f>
        <v>-0.38023706942879754</v>
      </c>
      <c r="F36" s="1">
        <f t="shared" si="1"/>
        <v>-0.36692930676427488</v>
      </c>
      <c r="G36" s="1">
        <f t="shared" si="1"/>
        <v>-0.38020859138037494</v>
      </c>
      <c r="H36" s="1">
        <f t="shared" si="1"/>
        <v>-0.39584574834985575</v>
      </c>
      <c r="I36" s="1">
        <f t="shared" si="1"/>
        <v>-0.41271777536452797</v>
      </c>
      <c r="J36" s="1">
        <f t="shared" si="1"/>
        <v>-0.41590777883365071</v>
      </c>
      <c r="K36" s="1">
        <f t="shared" si="1"/>
        <v>-0.41364577851329293</v>
      </c>
      <c r="L36" s="1">
        <f t="shared" si="1"/>
        <v>-0.43004039000339678</v>
      </c>
    </row>
    <row r="37" spans="1:12">
      <c r="B37" s="1" t="s">
        <v>31</v>
      </c>
      <c r="C37" s="1"/>
      <c r="D37" s="1">
        <v>-0.25937023300000001</v>
      </c>
      <c r="E37" s="1">
        <v>-0.26238925800000001</v>
      </c>
      <c r="F37" s="1">
        <v>-0.300215756</v>
      </c>
      <c r="G37" s="1">
        <v>-0.316066175</v>
      </c>
      <c r="H37" s="1">
        <v>-0.33570182700000001</v>
      </c>
      <c r="I37" s="1">
        <v>-0.33170905899999997</v>
      </c>
      <c r="J37" s="1">
        <v>-0.34257283900000002</v>
      </c>
      <c r="K37" s="1">
        <v>-0.33688701900000001</v>
      </c>
      <c r="L37" s="1">
        <v>-0.31486232600000003</v>
      </c>
    </row>
    <row r="38" spans="1:12">
      <c r="B38" s="1" t="s">
        <v>32</v>
      </c>
      <c r="C38" s="1"/>
      <c r="D38" s="1">
        <v>0.50916169700000002</v>
      </c>
      <c r="E38" s="1">
        <v>0.48150394000000002</v>
      </c>
      <c r="F38" s="1">
        <v>0.50313577200000004</v>
      </c>
      <c r="G38" s="1">
        <v>0.52767160999999996</v>
      </c>
      <c r="H38" s="1">
        <v>0.55997658900000002</v>
      </c>
      <c r="I38" s="1">
        <v>0.56213468499999997</v>
      </c>
      <c r="J38" s="1">
        <v>0.57955490300000001</v>
      </c>
      <c r="K38" s="1">
        <v>0.57599130399999998</v>
      </c>
      <c r="L38" s="1">
        <v>0.58311820400000003</v>
      </c>
    </row>
    <row r="39" spans="1:12">
      <c r="D39">
        <f>D27/(0.5*D12*(D9*D9)*0.042*0.32)</f>
        <v>-0.39870085104071629</v>
      </c>
      <c r="E39">
        <f t="shared" ref="E39:L39" si="2">E27/(0.5*E12*(E9*E9)*0.042*0.32)</f>
        <v>-0.38023706942879754</v>
      </c>
      <c r="F39">
        <f t="shared" si="2"/>
        <v>-0.36692930676427488</v>
      </c>
      <c r="G39">
        <f t="shared" si="2"/>
        <v>-0.38020859138037494</v>
      </c>
      <c r="H39">
        <f t="shared" si="2"/>
        <v>-0.39584574834985575</v>
      </c>
      <c r="I39">
        <f t="shared" si="2"/>
        <v>-0.41271777536452797</v>
      </c>
      <c r="J39">
        <f t="shared" si="2"/>
        <v>-0.41590777883365071</v>
      </c>
      <c r="K39">
        <f t="shared" si="2"/>
        <v>-0.41364577851329293</v>
      </c>
      <c r="L39">
        <f t="shared" si="2"/>
        <v>-0.43004039000339678</v>
      </c>
    </row>
    <row r="40" spans="1:12">
      <c r="A40" s="5"/>
      <c r="B40" s="5"/>
      <c r="C40" s="5"/>
      <c r="D40" s="5"/>
      <c r="E40" s="5"/>
      <c r="F40" s="5"/>
      <c r="G40" s="5"/>
      <c r="H40" s="5"/>
      <c r="I40" s="5"/>
      <c r="J40" s="5"/>
    </row>
    <row r="42" spans="1:12">
      <c r="D42" s="6"/>
    </row>
    <row r="44" spans="1:12">
      <c r="B44" s="1" t="s">
        <v>33</v>
      </c>
      <c r="C44" s="1"/>
      <c r="D44" s="1">
        <f>D17-(0.0071*(D9*D9)+0.0038*D9)</f>
        <v>0.12461453825041963</v>
      </c>
      <c r="E44" s="1">
        <f t="shared" ref="E44:L44" si="3">E17-(0.0071*(E9*E9)+0.0038*E9)</f>
        <v>0.45646274291843114</v>
      </c>
      <c r="F44" s="1">
        <f t="shared" si="3"/>
        <v>1.1676043333203152</v>
      </c>
      <c r="G44" s="1">
        <f t="shared" si="3"/>
        <v>2.3361639993537762</v>
      </c>
      <c r="H44" s="1">
        <f t="shared" si="3"/>
        <v>4.1650159738008758</v>
      </c>
      <c r="I44" s="1">
        <f t="shared" si="3"/>
        <v>6.0642213017872999</v>
      </c>
      <c r="J44" s="1">
        <f t="shared" si="3"/>
        <v>8.8509532891423977</v>
      </c>
      <c r="K44" s="1">
        <f t="shared" si="3"/>
        <v>11.52441547215985</v>
      </c>
      <c r="L44" s="1">
        <f t="shared" si="3"/>
        <v>14.937250057298947</v>
      </c>
    </row>
    <row r="45" spans="1:12" s="7" customFormat="1" ht="15.95" customHeight="1">
      <c r="B45" s="8" t="s">
        <v>34</v>
      </c>
      <c r="C45" s="8"/>
      <c r="D45" s="9">
        <f>D44/(0.5*D12*(D9*D9)*0.042)</f>
        <v>0.1938136539750285</v>
      </c>
      <c r="E45" s="9">
        <f t="shared" ref="E45:L45" si="4">E44/(0.5*E12*(E9*E9)*0.042)</f>
        <v>0.18115115692935194</v>
      </c>
      <c r="F45" s="9">
        <f t="shared" si="4"/>
        <v>0.20779638049214277</v>
      </c>
      <c r="G45" s="9">
        <f t="shared" si="4"/>
        <v>0.23465663713253351</v>
      </c>
      <c r="H45" s="9">
        <f t="shared" si="4"/>
        <v>0.26869017488302932</v>
      </c>
      <c r="I45" s="9">
        <f t="shared" si="4"/>
        <v>0.27223771961041443</v>
      </c>
      <c r="J45" s="9">
        <f t="shared" si="4"/>
        <v>0.28988980737430853</v>
      </c>
      <c r="K45" s="9">
        <f t="shared" si="4"/>
        <v>0.28606238024374303</v>
      </c>
      <c r="L45" s="9">
        <f t="shared" si="4"/>
        <v>0.2933350801843928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6D413-118F-9843-A1B3-6A92388A0CD2}">
  <dimension ref="B3:M45"/>
  <sheetViews>
    <sheetView zoomScale="130" zoomScaleNormal="130" workbookViewId="0">
      <selection activeCell="N14" sqref="N14"/>
    </sheetView>
  </sheetViews>
  <sheetFormatPr defaultColWidth="11" defaultRowHeight="15.95"/>
  <cols>
    <col min="2" max="2" width="23.5" customWidth="1"/>
  </cols>
  <sheetData>
    <row r="3" spans="2:13">
      <c r="B3" t="s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</row>
    <row r="4" spans="2:13">
      <c r="B4" t="s">
        <v>1</v>
      </c>
      <c r="D4">
        <v>479.65</v>
      </c>
      <c r="E4">
        <v>479.65</v>
      </c>
      <c r="F4">
        <v>479.65</v>
      </c>
      <c r="G4">
        <v>479.65</v>
      </c>
      <c r="H4">
        <v>479.65</v>
      </c>
      <c r="I4">
        <v>479.65</v>
      </c>
      <c r="J4">
        <v>479.65</v>
      </c>
      <c r="K4">
        <v>479.65</v>
      </c>
      <c r="L4">
        <v>479.65</v>
      </c>
    </row>
    <row r="5" spans="2:13">
      <c r="B5" t="s">
        <v>2</v>
      </c>
      <c r="C5" t="s">
        <v>3</v>
      </c>
      <c r="D5">
        <v>94.1</v>
      </c>
      <c r="E5">
        <v>140.9</v>
      </c>
      <c r="F5">
        <v>185.9</v>
      </c>
      <c r="G5">
        <v>247.9</v>
      </c>
      <c r="H5">
        <v>286</v>
      </c>
      <c r="I5">
        <v>346.7</v>
      </c>
      <c r="J5">
        <v>381.5</v>
      </c>
      <c r="K5">
        <v>425.8</v>
      </c>
      <c r="L5">
        <v>471</v>
      </c>
    </row>
    <row r="6" spans="2:13">
      <c r="B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2:13">
      <c r="B7" t="s">
        <v>1</v>
      </c>
      <c r="D7">
        <v>479.65</v>
      </c>
      <c r="E7">
        <v>479.65</v>
      </c>
      <c r="F7">
        <v>479.65</v>
      </c>
      <c r="G7">
        <v>479.65</v>
      </c>
      <c r="H7">
        <v>479.65</v>
      </c>
      <c r="I7">
        <v>479.65</v>
      </c>
      <c r="J7">
        <v>479.65</v>
      </c>
      <c r="K7">
        <v>479.65</v>
      </c>
      <c r="L7">
        <v>479.65</v>
      </c>
    </row>
    <row r="8" spans="2:13">
      <c r="B8" t="s">
        <v>4</v>
      </c>
      <c r="C8" t="s">
        <v>3</v>
      </c>
      <c r="D8">
        <v>100.3</v>
      </c>
      <c r="E8">
        <v>145.80000000000001</v>
      </c>
      <c r="F8">
        <v>190.9</v>
      </c>
      <c r="G8">
        <v>254.8</v>
      </c>
      <c r="H8">
        <v>291</v>
      </c>
      <c r="I8">
        <v>351.7</v>
      </c>
      <c r="J8">
        <v>385.8</v>
      </c>
      <c r="K8">
        <v>431.2</v>
      </c>
      <c r="L8">
        <v>476.3</v>
      </c>
    </row>
    <row r="9" spans="2:13" ht="15.75">
      <c r="B9" t="s">
        <v>5</v>
      </c>
      <c r="C9" t="s">
        <v>6</v>
      </c>
      <c r="D9">
        <v>5.1244025210000004</v>
      </c>
      <c r="E9">
        <v>10.08005123</v>
      </c>
      <c r="F9">
        <v>14.87030077</v>
      </c>
      <c r="G9">
        <v>19.983964449999998</v>
      </c>
      <c r="H9">
        <v>24.91546413</v>
      </c>
      <c r="I9">
        <v>29.852588820000001</v>
      </c>
      <c r="J9">
        <v>35.099331499999998</v>
      </c>
      <c r="K9" s="13">
        <v>39.979784979999998</v>
      </c>
      <c r="L9">
        <v>45.140429050000002</v>
      </c>
    </row>
    <row r="10" spans="2:13">
      <c r="B10" t="s">
        <v>7</v>
      </c>
      <c r="C10" t="s">
        <v>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2:13">
      <c r="B11" t="s">
        <v>8</v>
      </c>
      <c r="C11" t="s">
        <v>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2:13">
      <c r="B12" t="s">
        <v>9</v>
      </c>
      <c r="C12" t="s">
        <v>6</v>
      </c>
      <c r="D12">
        <v>1.1844010140000001</v>
      </c>
      <c r="E12">
        <v>1.1848106979999999</v>
      </c>
      <c r="F12">
        <v>1.184631059</v>
      </c>
      <c r="G12">
        <v>1.183566976</v>
      </c>
      <c r="H12">
        <v>1.182527914</v>
      </c>
      <c r="I12">
        <v>1.1795840040000001</v>
      </c>
      <c r="J12">
        <v>1.177780029</v>
      </c>
      <c r="K12">
        <v>1.177941635</v>
      </c>
      <c r="L12">
        <v>1.177004315</v>
      </c>
    </row>
    <row r="13" spans="2:13">
      <c r="B13" t="s">
        <v>10</v>
      </c>
      <c r="C13" t="s">
        <v>6</v>
      </c>
      <c r="D13">
        <v>1008.524809</v>
      </c>
      <c r="E13">
        <v>1008.45861</v>
      </c>
      <c r="F13">
        <v>1008.415829</v>
      </c>
      <c r="G13">
        <v>1008.418984</v>
      </c>
      <c r="H13">
        <v>1008.448183</v>
      </c>
      <c r="I13">
        <v>1008.4357189999999</v>
      </c>
      <c r="J13">
        <v>1008.395725</v>
      </c>
      <c r="K13">
        <v>1008.391901</v>
      </c>
      <c r="L13">
        <v>1008.433161</v>
      </c>
      <c r="M13" t="s">
        <v>35</v>
      </c>
    </row>
    <row r="14" spans="2:13">
      <c r="B14" t="s">
        <v>11</v>
      </c>
      <c r="C14" t="s">
        <v>6</v>
      </c>
      <c r="D14">
        <v>23.49037895</v>
      </c>
      <c r="E14">
        <v>23.368342389999999</v>
      </c>
      <c r="F14">
        <v>23.400724409999999</v>
      </c>
      <c r="G14">
        <v>23.668266890000002</v>
      </c>
      <c r="H14">
        <v>23.937677860000001</v>
      </c>
      <c r="I14">
        <v>24.675443789999999</v>
      </c>
      <c r="J14">
        <v>25.119786179999998</v>
      </c>
      <c r="K14">
        <v>25.07773362</v>
      </c>
      <c r="L14">
        <v>25.327443989999999</v>
      </c>
    </row>
    <row r="15" spans="2:13">
      <c r="B15" t="s">
        <v>12</v>
      </c>
      <c r="C15" t="s">
        <v>6</v>
      </c>
      <c r="D15">
        <v>20.083729900000002</v>
      </c>
      <c r="E15">
        <v>20.086506</v>
      </c>
      <c r="F15">
        <v>20.067015659999999</v>
      </c>
      <c r="G15">
        <v>20.053925039999999</v>
      </c>
      <c r="H15">
        <v>20.04743036</v>
      </c>
      <c r="I15">
        <v>20.01523341</v>
      </c>
      <c r="J15">
        <v>20.00178416</v>
      </c>
      <c r="K15">
        <v>19.9888908</v>
      </c>
      <c r="L15">
        <v>19.973513919999998</v>
      </c>
    </row>
    <row r="16" spans="2:13">
      <c r="B16" t="s">
        <v>13</v>
      </c>
      <c r="C16" t="s">
        <v>6</v>
      </c>
      <c r="D16" s="4">
        <v>1.8439599999999999E-5</v>
      </c>
      <c r="E16" s="4">
        <v>1.8434700000000002E-5</v>
      </c>
      <c r="F16" s="4">
        <v>1.8436000000000001E-5</v>
      </c>
      <c r="G16" s="4">
        <v>1.8446700000000001E-5</v>
      </c>
      <c r="H16" s="4">
        <v>1.8457500000000001E-5</v>
      </c>
      <c r="I16" s="4">
        <v>1.8487000000000001E-5</v>
      </c>
      <c r="J16" s="4">
        <v>1.8504799999999999E-5</v>
      </c>
      <c r="K16" s="4">
        <v>1.8503099999999999E-5</v>
      </c>
      <c r="L16" s="4">
        <v>1.8513100000000001E-5</v>
      </c>
    </row>
    <row r="17" spans="2:12">
      <c r="B17" t="s">
        <v>15</v>
      </c>
      <c r="C17" t="s">
        <v>6</v>
      </c>
      <c r="D17">
        <v>0.34859093299999999</v>
      </c>
      <c r="E17">
        <v>1.3684017550000001</v>
      </c>
      <c r="F17">
        <v>3.0279985489999999</v>
      </c>
      <c r="G17">
        <v>5.4970963849999999</v>
      </c>
      <c r="H17">
        <v>8.5643009600000006</v>
      </c>
      <c r="I17">
        <v>12.425204300000001</v>
      </c>
      <c r="J17">
        <v>17.337032220000001</v>
      </c>
      <c r="K17">
        <v>22.855990250000001</v>
      </c>
      <c r="L17">
        <v>29.233499370000001</v>
      </c>
    </row>
    <row r="18" spans="2:12">
      <c r="B18" t="s">
        <v>16</v>
      </c>
      <c r="C18" t="s">
        <v>6</v>
      </c>
      <c r="D18">
        <v>2.6327416999999999E-2</v>
      </c>
      <c r="E18">
        <v>2.9634511999999998E-2</v>
      </c>
      <c r="F18">
        <v>3.2725922999999997E-2</v>
      </c>
      <c r="G18">
        <v>6.9220530000000002E-2</v>
      </c>
      <c r="H18">
        <v>0.115022999</v>
      </c>
      <c r="I18">
        <v>-1.720711E-3</v>
      </c>
      <c r="J18">
        <v>-0.10199651799999999</v>
      </c>
      <c r="K18">
        <v>-0.10976003099999999</v>
      </c>
      <c r="L18">
        <v>-9.8596188000000001E-2</v>
      </c>
    </row>
    <row r="19" spans="2:12">
      <c r="B19" t="s">
        <v>17</v>
      </c>
      <c r="C19" t="s">
        <v>6</v>
      </c>
      <c r="D19">
        <v>-0.283698907</v>
      </c>
      <c r="E19">
        <v>-1.2360232920000001</v>
      </c>
      <c r="F19">
        <v>-2.8609460979999999</v>
      </c>
      <c r="G19">
        <v>-5.2617288650000003</v>
      </c>
      <c r="H19">
        <v>-8.3402206850000002</v>
      </c>
      <c r="I19">
        <v>-12.046185319999999</v>
      </c>
      <c r="J19">
        <v>-16.881510429999999</v>
      </c>
      <c r="K19">
        <v>-22.12774997</v>
      </c>
      <c r="L19">
        <v>-28.72356426</v>
      </c>
    </row>
    <row r="20" spans="2:12">
      <c r="B20" t="s">
        <v>18</v>
      </c>
      <c r="C20" t="s">
        <v>6</v>
      </c>
      <c r="D20">
        <v>1.1088606000000001E-2</v>
      </c>
      <c r="E20">
        <v>2.2270229999999998E-2</v>
      </c>
      <c r="F20">
        <v>2.9055303000000001E-2</v>
      </c>
      <c r="G20">
        <v>7.6643290000000003E-2</v>
      </c>
      <c r="H20">
        <v>0.136564451</v>
      </c>
      <c r="I20">
        <v>-1.5683516000000002E-2</v>
      </c>
      <c r="J20">
        <v>-0.15443016100000001</v>
      </c>
      <c r="K20">
        <v>-0.158367536</v>
      </c>
      <c r="L20">
        <v>-0.119430877</v>
      </c>
    </row>
    <row r="21" spans="2:12">
      <c r="B21" t="s">
        <v>19</v>
      </c>
      <c r="C21" t="s">
        <v>6</v>
      </c>
      <c r="D21">
        <v>-0.44997189199999998</v>
      </c>
      <c r="E21">
        <v>-1.7232870060000001</v>
      </c>
      <c r="F21">
        <v>-3.7968677070000001</v>
      </c>
      <c r="G21">
        <v>-6.9009204229999996</v>
      </c>
      <c r="H21">
        <v>-10.77973403</v>
      </c>
      <c r="I21">
        <v>-15.683811390000001</v>
      </c>
      <c r="J21">
        <v>-21.964738830000002</v>
      </c>
      <c r="K21">
        <v>-29.087762179999999</v>
      </c>
      <c r="L21">
        <v>-37.282953540000001</v>
      </c>
    </row>
    <row r="22" spans="2:12">
      <c r="B22" t="s">
        <v>20</v>
      </c>
      <c r="C22" t="s">
        <v>6</v>
      </c>
      <c r="D22">
        <v>8.0028570000000004E-3</v>
      </c>
      <c r="E22">
        <v>1.0434468000000001E-2</v>
      </c>
      <c r="F22">
        <v>1.4497256E-2</v>
      </c>
      <c r="G22">
        <v>2.1158219999999998E-2</v>
      </c>
      <c r="H22">
        <v>1.3759586000000001E-2</v>
      </c>
      <c r="I22">
        <v>-2.3300596E-2</v>
      </c>
      <c r="J22">
        <v>-3.9215374999999997E-2</v>
      </c>
      <c r="K22">
        <v>-2.7550814999999999E-2</v>
      </c>
      <c r="L22">
        <v>-2.7753024000000001E-2</v>
      </c>
    </row>
    <row r="23" spans="2:12">
      <c r="B23" t="s">
        <v>21</v>
      </c>
      <c r="C23" t="s">
        <v>6</v>
      </c>
      <c r="D23">
        <v>0.34859090999999998</v>
      </c>
      <c r="E23">
        <v>1.36840173</v>
      </c>
      <c r="F23">
        <v>3.0279985210000002</v>
      </c>
      <c r="G23">
        <v>5.4970963270000004</v>
      </c>
      <c r="H23">
        <v>8.5643008619999996</v>
      </c>
      <c r="I23">
        <v>12.425204300000001</v>
      </c>
      <c r="J23">
        <v>17.337032310000001</v>
      </c>
      <c r="K23">
        <v>22.855990340000002</v>
      </c>
      <c r="L23">
        <v>29.23349945</v>
      </c>
    </row>
    <row r="24" spans="2:12">
      <c r="B24" t="s">
        <v>22</v>
      </c>
      <c r="C24" t="s">
        <v>6</v>
      </c>
      <c r="D24">
        <v>2.6327713999999999E-2</v>
      </c>
      <c r="E24">
        <v>2.9635676E-2</v>
      </c>
      <c r="F24">
        <v>3.2728499000000001E-2</v>
      </c>
      <c r="G24">
        <v>6.9225205999999997E-2</v>
      </c>
      <c r="H24">
        <v>0.115030284</v>
      </c>
      <c r="I24">
        <v>-1.710142E-3</v>
      </c>
      <c r="J24">
        <v>-0.101981771</v>
      </c>
      <c r="K24">
        <v>-0.109740589</v>
      </c>
      <c r="L24">
        <v>-9.8571322000000003E-2</v>
      </c>
    </row>
    <row r="25" spans="2:12">
      <c r="B25" t="s">
        <v>23</v>
      </c>
      <c r="C25" t="s">
        <v>6</v>
      </c>
      <c r="D25">
        <v>-0.283698907</v>
      </c>
      <c r="E25">
        <v>-1.2360232920000001</v>
      </c>
      <c r="F25">
        <v>-2.8609460979999999</v>
      </c>
      <c r="G25">
        <v>-5.2617288650000003</v>
      </c>
      <c r="H25">
        <v>-8.3402206850000002</v>
      </c>
      <c r="I25">
        <v>-12.046185319999999</v>
      </c>
      <c r="J25">
        <v>-16.881510429999999</v>
      </c>
      <c r="K25">
        <v>-22.12774997</v>
      </c>
      <c r="L25">
        <v>-28.72356426</v>
      </c>
    </row>
    <row r="26" spans="2:12">
      <c r="B26" t="s">
        <v>24</v>
      </c>
      <c r="C26" t="s">
        <v>6</v>
      </c>
      <c r="D26">
        <v>-1.7608219000000001E-2</v>
      </c>
      <c r="E26">
        <v>-1.0031192E-2</v>
      </c>
      <c r="F26">
        <v>-6.615531E-3</v>
      </c>
      <c r="G26">
        <v>1.1936850000000001E-3</v>
      </c>
      <c r="H26">
        <v>1.1190611E-2</v>
      </c>
      <c r="I26">
        <v>-1.380612E-2</v>
      </c>
      <c r="J26">
        <v>-4.3251348000000002E-2</v>
      </c>
      <c r="K26">
        <v>-3.8725552000000003E-2</v>
      </c>
      <c r="L26">
        <v>-1.1956424E-2</v>
      </c>
    </row>
    <row r="27" spans="2:12">
      <c r="B27" t="s">
        <v>25</v>
      </c>
      <c r="C27" t="s">
        <v>6</v>
      </c>
      <c r="D27">
        <v>-7.0007791E-2</v>
      </c>
      <c r="E27">
        <v>-0.23172910099999999</v>
      </c>
      <c r="F27">
        <v>-0.49634929500000002</v>
      </c>
      <c r="G27">
        <v>-0.90908536200000001</v>
      </c>
      <c r="H27">
        <v>-1.444645977</v>
      </c>
      <c r="I27">
        <v>-2.1403387189999998</v>
      </c>
      <c r="J27">
        <v>-3.0673737449999998</v>
      </c>
      <c r="K27">
        <v>-4.1747328460000004</v>
      </c>
      <c r="L27">
        <v>-5.4184392460000002</v>
      </c>
    </row>
    <row r="28" spans="2:12">
      <c r="B28" t="s">
        <v>26</v>
      </c>
      <c r="C28" t="s">
        <v>6</v>
      </c>
      <c r="D28">
        <v>8.0028570000000004E-3</v>
      </c>
      <c r="E28">
        <v>1.0434468000000001E-2</v>
      </c>
      <c r="F28">
        <v>1.4497256E-2</v>
      </c>
      <c r="G28">
        <v>2.1158219999999998E-2</v>
      </c>
      <c r="H28">
        <v>1.3759586000000001E-2</v>
      </c>
      <c r="I28">
        <v>-2.3300596E-2</v>
      </c>
      <c r="J28">
        <v>-3.9215374999999997E-2</v>
      </c>
      <c r="K28">
        <v>-2.7550814999999999E-2</v>
      </c>
      <c r="L28">
        <v>-2.7753024000000001E-2</v>
      </c>
    </row>
    <row r="33" spans="2:12">
      <c r="B33" s="1" t="s">
        <v>36</v>
      </c>
      <c r="C33" s="1"/>
      <c r="D33" s="1">
        <v>200779.78690000001</v>
      </c>
      <c r="E33" s="1">
        <v>395188.84100000001</v>
      </c>
      <c r="F33" s="1">
        <v>582861.43409999995</v>
      </c>
      <c r="G33" s="1">
        <v>782140.75309999997</v>
      </c>
      <c r="H33" s="1">
        <v>973726.91249999998</v>
      </c>
      <c r="I33" s="1">
        <v>1161913.6410000001</v>
      </c>
      <c r="J33" s="1">
        <v>1362726.405</v>
      </c>
      <c r="K33" s="1">
        <v>1552563.4080000001</v>
      </c>
      <c r="L33" s="1">
        <v>1750630.449</v>
      </c>
    </row>
    <row r="34" spans="2:12">
      <c r="B34" t="s">
        <v>37</v>
      </c>
      <c r="C34" t="s">
        <v>6</v>
      </c>
      <c r="D34">
        <v>0.34859093299999999</v>
      </c>
      <c r="E34">
        <v>1.3684017550000001</v>
      </c>
      <c r="F34">
        <v>3.0279985489999999</v>
      </c>
      <c r="G34">
        <v>5.4970963849999999</v>
      </c>
      <c r="H34">
        <v>8.5643009600000006</v>
      </c>
      <c r="I34">
        <v>12.425204300000001</v>
      </c>
      <c r="J34">
        <v>17.337032220000001</v>
      </c>
      <c r="K34">
        <v>22.855990250000001</v>
      </c>
      <c r="L34">
        <v>29.233499370000001</v>
      </c>
    </row>
    <row r="36" spans="2:12">
      <c r="B36" s="1" t="s">
        <v>38</v>
      </c>
      <c r="C36" s="1"/>
      <c r="D36" s="1">
        <f>D27/(0.5*D12*(D9*D9)*0.042*0.32)</f>
        <v>-0.33495915968604317</v>
      </c>
      <c r="E36" s="1">
        <f t="shared" ref="E36:L36" si="0">E27/(0.5*E12*(E9*E9)*0.042*0.32)</f>
        <v>-0.28644210602053699</v>
      </c>
      <c r="F36" s="1">
        <f t="shared" si="0"/>
        <v>-0.28196520303246342</v>
      </c>
      <c r="G36" s="1">
        <f t="shared" si="0"/>
        <v>-0.28620634395955191</v>
      </c>
      <c r="H36" s="1">
        <f t="shared" si="0"/>
        <v>-0.29284835905068579</v>
      </c>
      <c r="I36" s="1">
        <f t="shared" si="0"/>
        <v>-0.30298446545637031</v>
      </c>
      <c r="J36" s="1">
        <f t="shared" si="0"/>
        <v>-0.31458321528843969</v>
      </c>
      <c r="K36" s="1">
        <f t="shared" si="0"/>
        <v>-0.32995501625948154</v>
      </c>
      <c r="L36" s="1">
        <f t="shared" si="0"/>
        <v>-0.33619830139986906</v>
      </c>
    </row>
    <row r="37" spans="2:12">
      <c r="B37" s="1" t="s">
        <v>39</v>
      </c>
      <c r="C37" s="1"/>
      <c r="D37" s="1">
        <v>-0.43436330099999998</v>
      </c>
      <c r="E37" s="1">
        <v>-0.488914497</v>
      </c>
      <c r="F37" s="1">
        <v>-0.52007713499999997</v>
      </c>
      <c r="G37" s="1">
        <v>-0.53009417800000003</v>
      </c>
      <c r="H37" s="1">
        <v>-0.54101447300000005</v>
      </c>
      <c r="I37" s="1">
        <v>-0.54567916599999999</v>
      </c>
      <c r="J37" s="1">
        <v>-0.55402598000000003</v>
      </c>
      <c r="K37" s="1">
        <v>-0.55964584100000003</v>
      </c>
      <c r="L37" s="1">
        <v>-0.57030819899999996</v>
      </c>
    </row>
    <row r="38" spans="2:12">
      <c r="B38" s="1" t="s">
        <v>40</v>
      </c>
      <c r="C38" s="1"/>
      <c r="D38" s="1">
        <v>0.53371763000000005</v>
      </c>
      <c r="E38" s="1">
        <v>0.541277385</v>
      </c>
      <c r="F38" s="1">
        <v>0.55044476799999997</v>
      </c>
      <c r="G38" s="1">
        <v>0.55380633800000001</v>
      </c>
      <c r="H38" s="1">
        <v>0.55555014000000003</v>
      </c>
      <c r="I38" s="1">
        <v>0.56284831499999999</v>
      </c>
      <c r="J38" s="1">
        <v>0.56897552500000004</v>
      </c>
      <c r="K38" s="1">
        <v>0.57806419099999995</v>
      </c>
      <c r="L38" s="1">
        <v>0.58043299299999995</v>
      </c>
    </row>
    <row r="44" spans="2:12">
      <c r="B44" s="1" t="s">
        <v>33</v>
      </c>
      <c r="C44" s="1"/>
      <c r="D44" s="1">
        <f>D17-(0.0071*(D9*D9)+0.0038*D9)</f>
        <v>0.14267574491985874</v>
      </c>
      <c r="E44" s="1">
        <f t="shared" ref="E44:L44" si="1">E17-(0.0071*(E9*E9)+0.0038*E9)</f>
        <v>0.60868478745008581</v>
      </c>
      <c r="F44" s="1">
        <f t="shared" si="1"/>
        <v>1.4014979066431352</v>
      </c>
      <c r="G44" s="1">
        <f t="shared" si="1"/>
        <v>2.585709590604067</v>
      </c>
      <c r="H44" s="1">
        <f t="shared" si="1"/>
        <v>4.0620816913314526</v>
      </c>
      <c r="I44" s="1">
        <f t="shared" si="1"/>
        <v>5.9844073417664774</v>
      </c>
      <c r="J44" s="1">
        <f t="shared" si="1"/>
        <v>8.4567169508970661</v>
      </c>
      <c r="K44" s="1">
        <f t="shared" si="1"/>
        <v>11.355546297042064</v>
      </c>
      <c r="L44" s="1">
        <f t="shared" si="1"/>
        <v>14.594591562401602</v>
      </c>
    </row>
    <row r="45" spans="2:12">
      <c r="B45" s="8" t="s">
        <v>41</v>
      </c>
      <c r="C45" s="8"/>
      <c r="D45" s="9">
        <f t="shared" ref="D45:L45" si="2">D44/(0.5*D12*(D9*D9)*0.042)</f>
        <v>0.21844676173684099</v>
      </c>
      <c r="E45" s="9">
        <f t="shared" si="2"/>
        <v>0.2407679680005187</v>
      </c>
      <c r="F45" s="9">
        <f t="shared" si="2"/>
        <v>0.25477132061764146</v>
      </c>
      <c r="G45" s="9">
        <f t="shared" si="2"/>
        <v>0.26049795344712717</v>
      </c>
      <c r="H45" s="9">
        <f t="shared" si="2"/>
        <v>0.26349962032504248</v>
      </c>
      <c r="I45" s="9">
        <f t="shared" si="2"/>
        <v>0.271087179751129</v>
      </c>
      <c r="J45" s="9">
        <f t="shared" si="2"/>
        <v>0.27753683043380933</v>
      </c>
      <c r="K45" s="9">
        <f t="shared" si="2"/>
        <v>0.28719974963980222</v>
      </c>
      <c r="L45" s="9">
        <f t="shared" si="2"/>
        <v>0.28977654531948027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D3E14-721D-9D4D-BD03-587FA6C72F02}">
  <dimension ref="B3:L45"/>
  <sheetViews>
    <sheetView topLeftCell="A25" zoomScale="130" zoomScaleNormal="130" workbookViewId="0">
      <selection activeCell="B36" sqref="B36"/>
    </sheetView>
  </sheetViews>
  <sheetFormatPr defaultColWidth="11" defaultRowHeight="15.95"/>
  <cols>
    <col min="2" max="2" width="23.125" customWidth="1"/>
  </cols>
  <sheetData>
    <row r="3" spans="2:12">
      <c r="B3" t="s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</row>
    <row r="4" spans="2:12">
      <c r="B4" t="s">
        <v>1</v>
      </c>
      <c r="D4">
        <v>289.8</v>
      </c>
      <c r="E4">
        <v>289.8</v>
      </c>
      <c r="F4">
        <v>289.8</v>
      </c>
      <c r="G4">
        <v>289.8</v>
      </c>
      <c r="H4">
        <v>289.8</v>
      </c>
      <c r="I4">
        <v>289.8</v>
      </c>
      <c r="J4">
        <v>289.8</v>
      </c>
      <c r="K4">
        <v>289.8</v>
      </c>
      <c r="L4">
        <v>289.8</v>
      </c>
    </row>
    <row r="5" spans="2:12">
      <c r="B5" t="s">
        <v>2</v>
      </c>
      <c r="C5" t="s">
        <v>3</v>
      </c>
      <c r="D5">
        <v>62.2</v>
      </c>
      <c r="E5">
        <v>91.4</v>
      </c>
      <c r="F5">
        <v>126.8</v>
      </c>
      <c r="G5">
        <v>148.1</v>
      </c>
      <c r="H5">
        <v>173</v>
      </c>
      <c r="I5">
        <v>197.8</v>
      </c>
      <c r="J5">
        <v>223</v>
      </c>
      <c r="K5">
        <v>250.9</v>
      </c>
      <c r="L5">
        <v>272.5</v>
      </c>
    </row>
    <row r="6" spans="2:12">
      <c r="B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2:12">
      <c r="B7" t="s">
        <v>1</v>
      </c>
      <c r="D7">
        <v>289.8</v>
      </c>
      <c r="E7">
        <v>289.8</v>
      </c>
      <c r="F7">
        <v>289.8</v>
      </c>
      <c r="G7">
        <v>289.8</v>
      </c>
      <c r="H7">
        <v>289.8</v>
      </c>
      <c r="I7">
        <v>289.8</v>
      </c>
      <c r="J7">
        <v>289.8</v>
      </c>
      <c r="K7">
        <v>289.8</v>
      </c>
      <c r="L7">
        <v>289.8</v>
      </c>
    </row>
    <row r="8" spans="2:12">
      <c r="B8" t="s">
        <v>4</v>
      </c>
      <c r="C8" t="s">
        <v>3</v>
      </c>
      <c r="D8">
        <v>68.5</v>
      </c>
      <c r="E8">
        <v>97.8</v>
      </c>
      <c r="F8">
        <v>133.19999999999999</v>
      </c>
      <c r="G8">
        <v>155</v>
      </c>
      <c r="H8">
        <v>179.4</v>
      </c>
      <c r="I8">
        <v>204.2</v>
      </c>
      <c r="J8">
        <v>229.4</v>
      </c>
      <c r="K8">
        <v>257.2</v>
      </c>
      <c r="L8">
        <v>278.8</v>
      </c>
    </row>
    <row r="9" spans="2:12">
      <c r="B9" t="s">
        <v>5</v>
      </c>
      <c r="C9" t="s">
        <v>6</v>
      </c>
      <c r="D9">
        <v>4.9966934790000002</v>
      </c>
      <c r="E9">
        <v>10.11583321</v>
      </c>
      <c r="F9">
        <v>14.92472792</v>
      </c>
      <c r="G9">
        <v>19.819044559999998</v>
      </c>
      <c r="H9">
        <v>24.987968729999999</v>
      </c>
      <c r="I9">
        <v>29.87471317</v>
      </c>
      <c r="J9">
        <v>34.949836470000001</v>
      </c>
      <c r="K9">
        <v>40.228116319999998</v>
      </c>
      <c r="L9">
        <v>45.28172361</v>
      </c>
    </row>
    <row r="10" spans="2:12">
      <c r="B10" t="s">
        <v>7</v>
      </c>
      <c r="C10" t="s">
        <v>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2:12">
      <c r="B11" t="s">
        <v>8</v>
      </c>
      <c r="C11" t="s">
        <v>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2:12">
      <c r="B12" t="s">
        <v>9</v>
      </c>
      <c r="C12" t="s">
        <v>6</v>
      </c>
      <c r="D12">
        <v>1.185661906</v>
      </c>
      <c r="E12">
        <v>1.185978371</v>
      </c>
      <c r="F12">
        <v>1.185962959</v>
      </c>
      <c r="G12">
        <v>1.1856058789999999</v>
      </c>
      <c r="H12">
        <v>1.1846762639999999</v>
      </c>
      <c r="I12">
        <v>1.1833403680000001</v>
      </c>
      <c r="J12">
        <v>1.1822242489999999</v>
      </c>
      <c r="K12">
        <v>1.1829155229999999</v>
      </c>
      <c r="L12">
        <v>1.1823987709999999</v>
      </c>
    </row>
    <row r="13" spans="2:12">
      <c r="B13" t="s">
        <v>10</v>
      </c>
      <c r="C13" t="s">
        <v>6</v>
      </c>
      <c r="D13">
        <v>1013.7380910000001</v>
      </c>
      <c r="E13">
        <v>1013.714667</v>
      </c>
      <c r="F13">
        <v>1013.7063910000001</v>
      </c>
      <c r="G13">
        <v>1013.715042</v>
      </c>
      <c r="H13">
        <v>1013.72096</v>
      </c>
      <c r="I13">
        <v>1013.70816</v>
      </c>
      <c r="J13">
        <v>1013.674403</v>
      </c>
      <c r="K13">
        <v>1013.682314</v>
      </c>
      <c r="L13">
        <v>1013.686477</v>
      </c>
    </row>
    <row r="14" spans="2:12">
      <c r="B14" t="s">
        <v>11</v>
      </c>
      <c r="C14" t="s">
        <v>6</v>
      </c>
      <c r="D14">
        <v>24.706684660000001</v>
      </c>
      <c r="E14">
        <v>24.62032408</v>
      </c>
      <c r="F14">
        <v>24.621763309999999</v>
      </c>
      <c r="G14">
        <v>24.71398705</v>
      </c>
      <c r="H14">
        <v>24.949462830000002</v>
      </c>
      <c r="I14">
        <v>25.282227209999999</v>
      </c>
      <c r="J14">
        <v>25.554021039999999</v>
      </c>
      <c r="K14">
        <v>25.38179306</v>
      </c>
      <c r="L14">
        <v>25.513491770000002</v>
      </c>
    </row>
    <row r="15" spans="2:12">
      <c r="B15" t="s">
        <v>12</v>
      </c>
      <c r="C15" t="s">
        <v>6</v>
      </c>
      <c r="D15">
        <v>21.699174710000001</v>
      </c>
      <c r="E15">
        <v>21.686842540000001</v>
      </c>
      <c r="F15">
        <v>21.69819747</v>
      </c>
      <c r="G15">
        <v>21.695046850000001</v>
      </c>
      <c r="H15">
        <v>21.696516559999999</v>
      </c>
      <c r="I15">
        <v>21.692242790000002</v>
      </c>
      <c r="J15">
        <v>21.688541220000001</v>
      </c>
      <c r="K15">
        <v>21.64075351</v>
      </c>
      <c r="L15">
        <v>21.643084829999999</v>
      </c>
    </row>
    <row r="16" spans="2:12">
      <c r="B16" t="s">
        <v>13</v>
      </c>
      <c r="C16" t="s">
        <v>6</v>
      </c>
      <c r="D16" s="4">
        <v>1.8488300000000001E-5</v>
      </c>
      <c r="E16" s="4">
        <v>1.84848E-5</v>
      </c>
      <c r="F16" s="4">
        <v>1.84849E-5</v>
      </c>
      <c r="G16" s="4">
        <v>1.8488600000000001E-5</v>
      </c>
      <c r="H16" s="4">
        <v>1.8498000000000001E-5</v>
      </c>
      <c r="I16" s="4">
        <v>1.85113E-5</v>
      </c>
      <c r="J16" s="4">
        <v>1.85222E-5</v>
      </c>
      <c r="K16" s="4">
        <v>1.8515299999999999E-5</v>
      </c>
      <c r="L16" s="4">
        <v>1.85205E-5</v>
      </c>
    </row>
    <row r="17" spans="2:12">
      <c r="B17" t="s">
        <v>15</v>
      </c>
      <c r="C17" t="s">
        <v>6</v>
      </c>
      <c r="D17">
        <v>0.32663924599999999</v>
      </c>
      <c r="E17">
        <v>1.245103734</v>
      </c>
      <c r="F17">
        <v>2.7910523870000001</v>
      </c>
      <c r="G17">
        <v>5.0269196269999998</v>
      </c>
      <c r="H17">
        <v>8.349031128</v>
      </c>
      <c r="I17">
        <v>12.27812363</v>
      </c>
      <c r="J17">
        <v>17.364330070000001</v>
      </c>
      <c r="K17">
        <v>23.009857230000001</v>
      </c>
      <c r="L17">
        <v>29.3999788</v>
      </c>
    </row>
    <row r="18" spans="2:12">
      <c r="B18" t="s">
        <v>16</v>
      </c>
      <c r="C18" t="s">
        <v>6</v>
      </c>
      <c r="D18">
        <v>2.4489013E-2</v>
      </c>
      <c r="E18">
        <v>5.0995360000000003E-2</v>
      </c>
      <c r="F18">
        <v>0.11363655</v>
      </c>
      <c r="G18">
        <v>0.189515461</v>
      </c>
      <c r="H18">
        <v>0.31677897100000002</v>
      </c>
      <c r="I18">
        <v>0.469187776</v>
      </c>
      <c r="J18">
        <v>0.56908066800000001</v>
      </c>
      <c r="K18">
        <v>0.54943879399999995</v>
      </c>
      <c r="L18">
        <v>0.581491812</v>
      </c>
    </row>
    <row r="19" spans="2:12">
      <c r="B19" t="s">
        <v>17</v>
      </c>
      <c r="C19" t="s">
        <v>6</v>
      </c>
      <c r="D19">
        <v>-0.20535161299999999</v>
      </c>
      <c r="E19">
        <v>-0.73376992900000004</v>
      </c>
      <c r="F19">
        <v>-1.770248372</v>
      </c>
      <c r="G19">
        <v>-3.0802151059999998</v>
      </c>
      <c r="H19">
        <v>-5.062220194</v>
      </c>
      <c r="I19">
        <v>-7.3376609479999999</v>
      </c>
      <c r="J19">
        <v>-10.212507560000001</v>
      </c>
      <c r="K19">
        <v>-13.36487247</v>
      </c>
      <c r="L19">
        <v>-15.415784840000001</v>
      </c>
    </row>
    <row r="20" spans="2:12">
      <c r="B20" t="s">
        <v>18</v>
      </c>
      <c r="C20" t="s">
        <v>6</v>
      </c>
      <c r="D20">
        <v>3.9559391999999999E-2</v>
      </c>
      <c r="E20">
        <v>8.2118649000000002E-2</v>
      </c>
      <c r="F20">
        <v>0.16851459899999999</v>
      </c>
      <c r="G20">
        <v>0.26996026899999997</v>
      </c>
      <c r="H20">
        <v>0.42805657200000002</v>
      </c>
      <c r="I20">
        <v>0.60013151899999995</v>
      </c>
      <c r="J20">
        <v>0.745087571</v>
      </c>
      <c r="K20">
        <v>0.80547771700000004</v>
      </c>
      <c r="L20">
        <v>0.91852840999999996</v>
      </c>
    </row>
    <row r="21" spans="2:12">
      <c r="B21" t="s">
        <v>19</v>
      </c>
      <c r="C21" t="s">
        <v>6</v>
      </c>
      <c r="D21">
        <v>-0.43272432500000002</v>
      </c>
      <c r="E21">
        <v>-1.6666404020000001</v>
      </c>
      <c r="F21">
        <v>-3.693941438</v>
      </c>
      <c r="G21">
        <v>-6.6763126450000003</v>
      </c>
      <c r="H21">
        <v>-11.07239392</v>
      </c>
      <c r="I21">
        <v>-16.222394640000001</v>
      </c>
      <c r="J21">
        <v>-22.923118980000002</v>
      </c>
      <c r="K21">
        <v>-30.37978154</v>
      </c>
      <c r="L21">
        <v>-39.066159540000001</v>
      </c>
    </row>
    <row r="22" spans="2:12">
      <c r="B22" t="s">
        <v>20</v>
      </c>
      <c r="C22" t="s">
        <v>6</v>
      </c>
      <c r="D22">
        <v>4.4718689999999998E-3</v>
      </c>
      <c r="E22">
        <v>1.5526938000000001E-2</v>
      </c>
      <c r="F22">
        <v>2.2775275000000001E-2</v>
      </c>
      <c r="G22">
        <v>2.0457493E-2</v>
      </c>
      <c r="H22">
        <v>-1.3315852E-2</v>
      </c>
      <c r="I22">
        <v>-3.8548738999999999E-2</v>
      </c>
      <c r="J22">
        <v>-8.3688886000000004E-2</v>
      </c>
      <c r="K22">
        <v>-4.1341174000000001E-2</v>
      </c>
      <c r="L22">
        <v>-4.9345435999999999E-2</v>
      </c>
    </row>
    <row r="23" spans="2:12">
      <c r="B23" t="s">
        <v>21</v>
      </c>
      <c r="C23" t="s">
        <v>6</v>
      </c>
      <c r="D23">
        <v>0.32663921699999998</v>
      </c>
      <c r="E23">
        <v>1.2451036719999999</v>
      </c>
      <c r="F23">
        <v>2.7910522489999998</v>
      </c>
      <c r="G23">
        <v>5.0269193970000003</v>
      </c>
      <c r="H23">
        <v>8.3490307430000001</v>
      </c>
      <c r="I23">
        <v>12.27812306</v>
      </c>
      <c r="J23">
        <v>17.364329380000001</v>
      </c>
      <c r="K23">
        <v>23.00985657</v>
      </c>
      <c r="L23">
        <v>29.399978090000001</v>
      </c>
    </row>
    <row r="24" spans="2:12">
      <c r="B24" t="s">
        <v>22</v>
      </c>
      <c r="C24" t="s">
        <v>6</v>
      </c>
      <c r="D24">
        <v>2.448941E-2</v>
      </c>
      <c r="E24">
        <v>5.0996872999999998E-2</v>
      </c>
      <c r="F24">
        <v>0.11363994199999999</v>
      </c>
      <c r="G24">
        <v>0.18952157</v>
      </c>
      <c r="H24">
        <v>0.31678911599999998</v>
      </c>
      <c r="I24">
        <v>0.469202695</v>
      </c>
      <c r="J24">
        <v>0.56910176800000001</v>
      </c>
      <c r="K24">
        <v>0.549466754</v>
      </c>
      <c r="L24">
        <v>0.58152753700000004</v>
      </c>
    </row>
    <row r="25" spans="2:12">
      <c r="B25" t="s">
        <v>23</v>
      </c>
      <c r="C25" t="s">
        <v>6</v>
      </c>
      <c r="D25">
        <v>-0.20535161299999999</v>
      </c>
      <c r="E25">
        <v>-0.73376992900000004</v>
      </c>
      <c r="F25">
        <v>-1.770248372</v>
      </c>
      <c r="G25">
        <v>-3.0802151059999998</v>
      </c>
      <c r="H25">
        <v>-5.062220194</v>
      </c>
      <c r="I25">
        <v>-7.3376609479999999</v>
      </c>
      <c r="J25">
        <v>-10.212507560000001</v>
      </c>
      <c r="K25">
        <v>-13.36487247</v>
      </c>
      <c r="L25">
        <v>-15.415784840000001</v>
      </c>
    </row>
    <row r="26" spans="2:12">
      <c r="B26" t="s">
        <v>24</v>
      </c>
      <c r="C26" t="s">
        <v>6</v>
      </c>
      <c r="D26">
        <v>1.2866460999999999E-2</v>
      </c>
      <c r="E26">
        <v>2.6534083E-2</v>
      </c>
      <c r="F26">
        <v>4.4651550999999998E-2</v>
      </c>
      <c r="G26">
        <v>6.3389870000000001E-2</v>
      </c>
      <c r="H26">
        <v>8.2769889999999999E-2</v>
      </c>
      <c r="I26">
        <v>8.8720293000000006E-2</v>
      </c>
      <c r="J26">
        <v>0.124794499</v>
      </c>
      <c r="K26">
        <v>0.20659587099999999</v>
      </c>
      <c r="L26">
        <v>0.28471086600000001</v>
      </c>
    </row>
    <row r="27" spans="2:12">
      <c r="B27" t="s">
        <v>25</v>
      </c>
      <c r="C27" t="s">
        <v>6</v>
      </c>
      <c r="D27">
        <v>-7.6687530000000004E-2</v>
      </c>
      <c r="E27">
        <v>-0.30947729899999998</v>
      </c>
      <c r="F27">
        <v>-0.65169428200000001</v>
      </c>
      <c r="G27">
        <v>-1.1969701740000001</v>
      </c>
      <c r="H27">
        <v>-1.9719498879999999</v>
      </c>
      <c r="I27">
        <v>-2.8392397749999998</v>
      </c>
      <c r="J27">
        <v>-3.995999055</v>
      </c>
      <c r="K27">
        <v>-5.2990369050000004</v>
      </c>
      <c r="L27">
        <v>-7.0201823059999997</v>
      </c>
    </row>
    <row r="28" spans="2:12">
      <c r="B28" t="s">
        <v>26</v>
      </c>
      <c r="C28" t="s">
        <v>6</v>
      </c>
      <c r="D28">
        <v>4.4718689999999998E-3</v>
      </c>
      <c r="E28">
        <v>1.5526938000000001E-2</v>
      </c>
      <c r="F28">
        <v>2.2775275000000001E-2</v>
      </c>
      <c r="G28">
        <v>2.0457493E-2</v>
      </c>
      <c r="H28">
        <v>-1.3315852E-2</v>
      </c>
      <c r="I28">
        <v>-3.8548738999999999E-2</v>
      </c>
      <c r="J28">
        <v>-8.3688886000000004E-2</v>
      </c>
      <c r="K28">
        <v>-4.1341174000000001E-2</v>
      </c>
      <c r="L28">
        <v>-4.9345435999999999E-2</v>
      </c>
    </row>
    <row r="32" spans="2:12">
      <c r="B32" t="s">
        <v>42</v>
      </c>
      <c r="D32">
        <v>195468.6874</v>
      </c>
      <c r="E32">
        <v>395907.02059999999</v>
      </c>
      <c r="F32">
        <v>584105.06129999994</v>
      </c>
      <c r="G32">
        <v>775264.35840000003</v>
      </c>
      <c r="H32">
        <v>976194.16009999998</v>
      </c>
      <c r="I32">
        <v>1164948.1499999999</v>
      </c>
      <c r="J32">
        <v>1360765.202</v>
      </c>
      <c r="K32">
        <v>1567772.973</v>
      </c>
      <c r="L32">
        <v>1763449.8629999999</v>
      </c>
    </row>
    <row r="33" spans="2:12">
      <c r="B33" t="s">
        <v>43</v>
      </c>
      <c r="C33" t="s">
        <v>6</v>
      </c>
      <c r="D33">
        <v>0.32663924599999999</v>
      </c>
      <c r="E33">
        <v>1.245103734</v>
      </c>
      <c r="F33">
        <v>2.7910523870000001</v>
      </c>
      <c r="G33">
        <v>5.0269196269999998</v>
      </c>
      <c r="H33">
        <v>8.349031128</v>
      </c>
      <c r="I33">
        <v>12.27812363</v>
      </c>
      <c r="J33">
        <v>17.364330070000001</v>
      </c>
      <c r="K33">
        <v>23.009857230000001</v>
      </c>
      <c r="L33">
        <v>29.3999788</v>
      </c>
    </row>
    <row r="36" spans="2:12">
      <c r="B36" s="1" t="s">
        <v>44</v>
      </c>
      <c r="C36" s="1"/>
      <c r="D36" s="1">
        <f>D27/(0.5*D12*(D9*D9)*0.042*0.32)</f>
        <v>-0.38550427022716571</v>
      </c>
      <c r="E36" s="1">
        <f t="shared" ref="E36:L36" si="0">E27/(0.5*E12*(E9*E9)*0.042*0.32)</f>
        <v>-0.37947173755237812</v>
      </c>
      <c r="F36" s="1">
        <f t="shared" si="0"/>
        <v>-0.36710531067547414</v>
      </c>
      <c r="G36" s="1">
        <f t="shared" si="0"/>
        <v>-0.38247960608059595</v>
      </c>
      <c r="H36" s="1">
        <f t="shared" si="0"/>
        <v>-0.39670256317274633</v>
      </c>
      <c r="I36" s="1">
        <f t="shared" si="0"/>
        <v>-0.40005124720581609</v>
      </c>
      <c r="J36" s="1">
        <f t="shared" si="0"/>
        <v>-0.41178065935381081</v>
      </c>
      <c r="K36" s="1">
        <f t="shared" si="0"/>
        <v>-0.41192158102999071</v>
      </c>
      <c r="L36" s="1">
        <f t="shared" si="0"/>
        <v>-0.43089281122559547</v>
      </c>
    </row>
    <row r="37" spans="2:12">
      <c r="B37" s="1" t="s">
        <v>45</v>
      </c>
      <c r="C37" s="1"/>
      <c r="D37" s="1">
        <v>-0.33033343999999998</v>
      </c>
      <c r="E37" s="1">
        <v>-0.28791250400000001</v>
      </c>
      <c r="F37" s="1">
        <v>-0.31910303800000001</v>
      </c>
      <c r="G37" s="1">
        <v>-0.31496041899999999</v>
      </c>
      <c r="H37" s="1">
        <v>-0.32588182700000001</v>
      </c>
      <c r="I37" s="1">
        <v>-0.330842411</v>
      </c>
      <c r="J37" s="1">
        <v>-0.33676188899999998</v>
      </c>
      <c r="K37" s="1">
        <v>-0.33245464000000002</v>
      </c>
      <c r="L37" s="1">
        <v>-0.30278647800000003</v>
      </c>
    </row>
    <row r="38" spans="2:12">
      <c r="B38" s="1" t="s">
        <v>40</v>
      </c>
      <c r="C38" s="1"/>
      <c r="D38" s="1">
        <v>0.52543958300000004</v>
      </c>
      <c r="E38" s="1">
        <v>0.48854677699999999</v>
      </c>
      <c r="F38" s="1">
        <v>0.503112055</v>
      </c>
      <c r="G38" s="1">
        <v>0.51401627999999999</v>
      </c>
      <c r="H38" s="1">
        <v>0.53747119099999996</v>
      </c>
      <c r="I38" s="1">
        <v>0.55359930800000001</v>
      </c>
      <c r="J38" s="1">
        <v>0.57259635499999995</v>
      </c>
      <c r="K38" s="1">
        <v>0.57237611700000002</v>
      </c>
      <c r="L38" s="1">
        <v>0.57745461099999995</v>
      </c>
    </row>
    <row r="44" spans="2:12">
      <c r="B44" s="1" t="s">
        <v>33</v>
      </c>
      <c r="C44" s="1"/>
      <c r="D44" s="1">
        <f>D17-(0.0071*(D9*D9)+0.0038*D9)</f>
        <v>0.13038649614592401</v>
      </c>
      <c r="E44" s="1">
        <f t="shared" ref="E44:L44" si="1">E17-(0.0071*(E9*E9)+0.0038*E9)</f>
        <v>0.48011998892097385</v>
      </c>
      <c r="F44" s="1">
        <f t="shared" si="1"/>
        <v>1.1528311461532044</v>
      </c>
      <c r="G44" s="1">
        <f t="shared" si="1"/>
        <v>2.1627661140460144</v>
      </c>
      <c r="H44" s="1">
        <f t="shared" si="1"/>
        <v>3.8208469199406503</v>
      </c>
      <c r="I44" s="1">
        <f t="shared" si="1"/>
        <v>5.8278604623266217</v>
      </c>
      <c r="J44" s="1">
        <f t="shared" si="1"/>
        <v>8.558934099527832</v>
      </c>
      <c r="K44" s="1">
        <f t="shared" si="1"/>
        <v>11.367050855130305</v>
      </c>
      <c r="L44" s="1">
        <f t="shared" si="1"/>
        <v>14.669823349325736</v>
      </c>
    </row>
    <row r="45" spans="2:12">
      <c r="B45" s="8" t="s">
        <v>46</v>
      </c>
      <c r="C45" s="8"/>
      <c r="D45" s="9">
        <f t="shared" ref="D45:L45" si="2">D44/(0.5*D12*(D9*D9)*0.042)</f>
        <v>0.20974278783196837</v>
      </c>
      <c r="E45" s="9">
        <f t="shared" si="2"/>
        <v>0.18838677164954373</v>
      </c>
      <c r="F45" s="9">
        <f t="shared" si="2"/>
        <v>0.2078080831477653</v>
      </c>
      <c r="G45" s="9">
        <f t="shared" si="2"/>
        <v>0.22114875021967745</v>
      </c>
      <c r="H45" s="9">
        <f t="shared" si="2"/>
        <v>0.24596807873951801</v>
      </c>
      <c r="I45" s="9">
        <f t="shared" si="2"/>
        <v>0.26276812456900484</v>
      </c>
      <c r="J45" s="9">
        <f t="shared" si="2"/>
        <v>0.28223458341088203</v>
      </c>
      <c r="K45" s="9">
        <f t="shared" si="2"/>
        <v>0.28275831363849441</v>
      </c>
      <c r="L45" s="9">
        <f t="shared" si="2"/>
        <v>0.28813480437492661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2F235-1894-F848-93F1-F9BCF97EE674}">
  <dimension ref="B3:L45"/>
  <sheetViews>
    <sheetView topLeftCell="A18" zoomScale="130" zoomScaleNormal="130" workbookViewId="0">
      <selection activeCell="D36" sqref="D36"/>
    </sheetView>
  </sheetViews>
  <sheetFormatPr defaultColWidth="11" defaultRowHeight="15.95"/>
  <cols>
    <col min="2" max="2" width="27.625" customWidth="1"/>
    <col min="4" max="4" width="13.875" customWidth="1"/>
  </cols>
  <sheetData>
    <row r="3" spans="2:12">
      <c r="B3" t="s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</row>
    <row r="4" spans="2:12">
      <c r="B4" t="s">
        <v>1</v>
      </c>
      <c r="D4">
        <v>311.10000000000002</v>
      </c>
      <c r="E4">
        <v>311.10000000000002</v>
      </c>
      <c r="F4">
        <v>311.10000000000002</v>
      </c>
      <c r="G4">
        <v>311.10000000000002</v>
      </c>
      <c r="H4">
        <v>311.10000000000002</v>
      </c>
      <c r="I4">
        <v>311.10000000000002</v>
      </c>
      <c r="J4">
        <v>311.10000000000002</v>
      </c>
      <c r="K4">
        <v>311.10000000000002</v>
      </c>
      <c r="L4">
        <v>311.10000000000002</v>
      </c>
    </row>
    <row r="5" spans="2:12">
      <c r="B5" t="s">
        <v>2</v>
      </c>
      <c r="C5" t="s">
        <v>3</v>
      </c>
      <c r="D5">
        <v>49</v>
      </c>
      <c r="E5">
        <v>78.3</v>
      </c>
      <c r="F5">
        <v>108.3</v>
      </c>
      <c r="G5">
        <v>133.30000000000001</v>
      </c>
      <c r="H5">
        <v>163.19999999999999</v>
      </c>
      <c r="I5">
        <v>198.8</v>
      </c>
      <c r="J5">
        <v>223.1</v>
      </c>
      <c r="K5">
        <v>253.3</v>
      </c>
      <c r="L5">
        <v>283.8</v>
      </c>
    </row>
    <row r="6" spans="2:12">
      <c r="B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2:12">
      <c r="B7" t="s">
        <v>1</v>
      </c>
      <c r="D7">
        <v>311.10000000000002</v>
      </c>
      <c r="E7">
        <v>311.10000000000002</v>
      </c>
      <c r="F7">
        <v>311.10000000000002</v>
      </c>
      <c r="G7">
        <v>311.10000000000002</v>
      </c>
      <c r="H7">
        <v>311.10000000000002</v>
      </c>
      <c r="I7">
        <v>311.10000000000002</v>
      </c>
      <c r="J7">
        <v>311.10000000000002</v>
      </c>
      <c r="K7">
        <v>311.10000000000002</v>
      </c>
      <c r="L7">
        <v>311.10000000000002</v>
      </c>
    </row>
    <row r="8" spans="2:12">
      <c r="B8" t="s">
        <v>4</v>
      </c>
      <c r="C8" t="s">
        <v>3</v>
      </c>
      <c r="D8">
        <v>55.4</v>
      </c>
      <c r="E8">
        <v>84.7</v>
      </c>
      <c r="F8">
        <v>114.9</v>
      </c>
      <c r="G8">
        <v>139.80000000000001</v>
      </c>
      <c r="H8">
        <v>169.6</v>
      </c>
      <c r="I8">
        <v>205.2</v>
      </c>
      <c r="J8">
        <v>229.6</v>
      </c>
      <c r="K8">
        <v>259.8</v>
      </c>
      <c r="L8">
        <v>290.10000000000002</v>
      </c>
    </row>
    <row r="9" spans="2:12">
      <c r="B9" t="s">
        <v>5</v>
      </c>
      <c r="C9" t="s">
        <v>6</v>
      </c>
      <c r="D9">
        <v>5.020365923</v>
      </c>
      <c r="E9">
        <v>10.040667320000001</v>
      </c>
      <c r="F9">
        <v>14.920515229999999</v>
      </c>
      <c r="G9">
        <v>20.006787630000002</v>
      </c>
      <c r="H9">
        <v>24.91158016</v>
      </c>
      <c r="I9">
        <v>30.074929579999999</v>
      </c>
      <c r="J9">
        <v>34.994184130000001</v>
      </c>
      <c r="K9">
        <v>40.157715979999999</v>
      </c>
      <c r="L9">
        <v>45.240589849999999</v>
      </c>
    </row>
    <row r="10" spans="2:12">
      <c r="B10" t="s">
        <v>7</v>
      </c>
      <c r="C10" t="s">
        <v>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2:12">
      <c r="B11" t="s">
        <v>8</v>
      </c>
      <c r="C11" t="s">
        <v>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2:12">
      <c r="B12" t="s">
        <v>9</v>
      </c>
      <c r="C12" t="s">
        <v>6</v>
      </c>
      <c r="D12">
        <v>1.191639245</v>
      </c>
      <c r="E12">
        <v>1.1918838359999999</v>
      </c>
      <c r="F12">
        <v>1.1916836449999999</v>
      </c>
      <c r="G12">
        <v>1.191061758</v>
      </c>
      <c r="H12">
        <v>1.1899031689999999</v>
      </c>
      <c r="I12">
        <v>1.188478221</v>
      </c>
      <c r="J12">
        <v>1.1898656999999999</v>
      </c>
      <c r="K12">
        <v>1.1900420789999999</v>
      </c>
      <c r="L12">
        <v>1.1885248859999999</v>
      </c>
    </row>
    <row r="13" spans="2:12">
      <c r="B13" t="s">
        <v>10</v>
      </c>
      <c r="C13" t="s">
        <v>6</v>
      </c>
      <c r="D13">
        <v>1018.846966</v>
      </c>
      <c r="E13">
        <v>1018.81395</v>
      </c>
      <c r="F13">
        <v>1018.786277</v>
      </c>
      <c r="G13">
        <v>1018.788892</v>
      </c>
      <c r="H13">
        <v>1018.792984</v>
      </c>
      <c r="I13">
        <v>1018.714715</v>
      </c>
      <c r="J13">
        <v>1018.685618</v>
      </c>
      <c r="K13">
        <v>1018.692782</v>
      </c>
      <c r="L13">
        <v>1018.683031</v>
      </c>
    </row>
    <row r="14" spans="2:12">
      <c r="B14" t="s">
        <v>11</v>
      </c>
      <c r="C14" t="s">
        <v>6</v>
      </c>
      <c r="D14">
        <v>24.706176710000001</v>
      </c>
      <c r="E14">
        <v>24.63540308</v>
      </c>
      <c r="F14">
        <v>24.677337290000001</v>
      </c>
      <c r="G14">
        <v>24.83360648</v>
      </c>
      <c r="H14">
        <v>25.124948029999999</v>
      </c>
      <c r="I14">
        <v>25.45962643</v>
      </c>
      <c r="J14">
        <v>25.102904259999999</v>
      </c>
      <c r="K14">
        <v>25.060797269999998</v>
      </c>
      <c r="L14">
        <v>25.438618529999999</v>
      </c>
    </row>
    <row r="15" spans="2:12">
      <c r="B15" t="s">
        <v>12</v>
      </c>
      <c r="C15" t="s">
        <v>6</v>
      </c>
      <c r="D15">
        <v>21.818280779999998</v>
      </c>
      <c r="E15">
        <v>21.82938532</v>
      </c>
      <c r="F15">
        <v>21.828654010000001</v>
      </c>
      <c r="G15">
        <v>21.82436599</v>
      </c>
      <c r="H15">
        <v>21.826226210000002</v>
      </c>
      <c r="I15">
        <v>21.791797549999998</v>
      </c>
      <c r="J15">
        <v>21.800491009999998</v>
      </c>
      <c r="K15">
        <v>21.778388679999999</v>
      </c>
      <c r="L15">
        <v>21.756415050000001</v>
      </c>
    </row>
    <row r="16" spans="2:12">
      <c r="B16" t="s">
        <v>13</v>
      </c>
      <c r="C16" t="s">
        <v>6</v>
      </c>
      <c r="D16" s="4">
        <v>1.84882E-5</v>
      </c>
      <c r="E16" s="4">
        <v>1.8485400000000001E-5</v>
      </c>
      <c r="F16" s="4">
        <v>1.8487100000000001E-5</v>
      </c>
      <c r="G16" s="4">
        <v>1.8493300000000001E-5</v>
      </c>
      <c r="H16" s="4">
        <v>1.8505E-5</v>
      </c>
      <c r="I16" s="4">
        <v>1.8518399999999999E-5</v>
      </c>
      <c r="J16" s="4">
        <v>1.8504100000000001E-5</v>
      </c>
      <c r="K16" s="4">
        <v>1.8502400000000001E-5</v>
      </c>
      <c r="L16" s="4">
        <v>1.85175E-5</v>
      </c>
    </row>
    <row r="17" spans="2:12">
      <c r="B17" t="s">
        <v>15</v>
      </c>
      <c r="C17" t="s">
        <v>6</v>
      </c>
      <c r="D17">
        <v>0.33198826599999998</v>
      </c>
      <c r="E17">
        <v>1.265492627</v>
      </c>
      <c r="F17">
        <v>2.8682400280000002</v>
      </c>
      <c r="G17">
        <v>5.290139817</v>
      </c>
      <c r="H17">
        <v>8.3691488889999999</v>
      </c>
      <c r="I17">
        <v>12.5080119</v>
      </c>
      <c r="J17">
        <v>17.446852239999998</v>
      </c>
      <c r="K17">
        <v>22.93807417</v>
      </c>
      <c r="L17">
        <v>29.27075967</v>
      </c>
    </row>
    <row r="18" spans="2:12">
      <c r="B18" t="s">
        <v>16</v>
      </c>
      <c r="C18" t="s">
        <v>6</v>
      </c>
      <c r="D18">
        <v>-3.184901E-3</v>
      </c>
      <c r="E18">
        <v>3.4862503000000003E-2</v>
      </c>
      <c r="F18">
        <v>8.7054845000000006E-2</v>
      </c>
      <c r="G18">
        <v>0.18249126700000001</v>
      </c>
      <c r="H18">
        <v>0.36881098299999998</v>
      </c>
      <c r="I18">
        <v>0.42063091899999999</v>
      </c>
      <c r="J18">
        <v>0.46087813500000002</v>
      </c>
      <c r="K18">
        <v>0.67811993000000004</v>
      </c>
      <c r="L18">
        <v>0.66010475700000004</v>
      </c>
    </row>
    <row r="19" spans="2:12">
      <c r="B19" t="s">
        <v>17</v>
      </c>
      <c r="C19" t="s">
        <v>6</v>
      </c>
      <c r="D19">
        <v>-0.28733678200000001</v>
      </c>
      <c r="E19">
        <v>-1.1357424979999999</v>
      </c>
      <c r="F19">
        <v>-2.656587553</v>
      </c>
      <c r="G19">
        <v>-4.8970106959999997</v>
      </c>
      <c r="H19">
        <v>-7.6924473310000003</v>
      </c>
      <c r="I19">
        <v>-11.23260131</v>
      </c>
      <c r="J19">
        <v>-15.37826123</v>
      </c>
      <c r="K19">
        <v>-20.403543979999998</v>
      </c>
      <c r="L19">
        <v>-25.27259381</v>
      </c>
    </row>
    <row r="20" spans="2:12">
      <c r="B20" t="s">
        <v>18</v>
      </c>
      <c r="C20" t="s">
        <v>6</v>
      </c>
      <c r="D20">
        <v>2.6100926E-2</v>
      </c>
      <c r="E20">
        <v>7.4838557999999999E-2</v>
      </c>
      <c r="F20">
        <v>0.143323278</v>
      </c>
      <c r="G20">
        <v>0.26463656299999999</v>
      </c>
      <c r="H20">
        <v>0.479695547</v>
      </c>
      <c r="I20">
        <v>0.56651829600000003</v>
      </c>
      <c r="J20">
        <v>0.60431643700000004</v>
      </c>
      <c r="K20">
        <v>0.85533504999999999</v>
      </c>
      <c r="L20">
        <v>0.88107694800000003</v>
      </c>
    </row>
    <row r="21" spans="2:12">
      <c r="B21" t="s">
        <v>19</v>
      </c>
      <c r="C21" t="s">
        <v>6</v>
      </c>
      <c r="D21">
        <v>-0.42740321399999998</v>
      </c>
      <c r="E21">
        <v>-1.610315561</v>
      </c>
      <c r="F21">
        <v>-3.6255517479999999</v>
      </c>
      <c r="G21">
        <v>-6.6644554960000004</v>
      </c>
      <c r="H21">
        <v>-10.56171996</v>
      </c>
      <c r="I21">
        <v>-15.781794209999999</v>
      </c>
      <c r="J21">
        <v>-22.043193519999999</v>
      </c>
      <c r="K21">
        <v>-29.03428976</v>
      </c>
      <c r="L21">
        <v>-37.135950289999997</v>
      </c>
    </row>
    <row r="22" spans="2:12">
      <c r="B22" t="s">
        <v>20</v>
      </c>
      <c r="C22" t="s">
        <v>6</v>
      </c>
      <c r="D22">
        <v>1.61918E-3</v>
      </c>
      <c r="E22">
        <v>1.376367E-2</v>
      </c>
      <c r="F22">
        <v>1.8362216000000001E-2</v>
      </c>
      <c r="G22">
        <v>1.5591386E-2</v>
      </c>
      <c r="H22">
        <v>5.6601799999999999E-3</v>
      </c>
      <c r="I22">
        <v>-3.9398343000000002E-2</v>
      </c>
      <c r="J22">
        <v>-9.4285156999999994E-2</v>
      </c>
      <c r="K22">
        <v>-5.4748905E-2</v>
      </c>
      <c r="L22">
        <v>-5.8779749999999999E-2</v>
      </c>
    </row>
    <row r="23" spans="2:12">
      <c r="B23" t="s">
        <v>21</v>
      </c>
      <c r="C23" t="s">
        <v>6</v>
      </c>
      <c r="D23">
        <v>0.33198827199999997</v>
      </c>
      <c r="E23">
        <v>1.26549256</v>
      </c>
      <c r="F23">
        <v>2.8682398579999999</v>
      </c>
      <c r="G23">
        <v>5.290139462</v>
      </c>
      <c r="H23">
        <v>8.3691481710000009</v>
      </c>
      <c r="I23">
        <v>12.50801109</v>
      </c>
      <c r="J23">
        <v>17.446851349999999</v>
      </c>
      <c r="K23">
        <v>22.938072859999998</v>
      </c>
      <c r="L23">
        <v>29.27075838</v>
      </c>
    </row>
    <row r="24" spans="2:12">
      <c r="B24" t="s">
        <v>22</v>
      </c>
      <c r="C24" t="s">
        <v>6</v>
      </c>
      <c r="D24">
        <v>-3.1842559999999999E-3</v>
      </c>
      <c r="E24">
        <v>3.4864962999999999E-2</v>
      </c>
      <c r="F24">
        <v>8.7060420999999999E-2</v>
      </c>
      <c r="G24">
        <v>0.18250155200000001</v>
      </c>
      <c r="H24">
        <v>0.36882725399999999</v>
      </c>
      <c r="I24">
        <v>0.42065523799999999</v>
      </c>
      <c r="J24">
        <v>0.46091205499999999</v>
      </c>
      <c r="K24">
        <v>0.67816452699999996</v>
      </c>
      <c r="L24">
        <v>0.66016166600000004</v>
      </c>
    </row>
    <row r="25" spans="2:12">
      <c r="B25" t="s">
        <v>23</v>
      </c>
      <c r="C25" t="s">
        <v>6</v>
      </c>
      <c r="D25">
        <v>-0.28733678200000001</v>
      </c>
      <c r="E25">
        <v>-1.1357424979999999</v>
      </c>
      <c r="F25">
        <v>-2.656587553</v>
      </c>
      <c r="G25">
        <v>-4.8970106959999997</v>
      </c>
      <c r="H25">
        <v>-7.6924473310000003</v>
      </c>
      <c r="I25">
        <v>-11.23260131</v>
      </c>
      <c r="J25">
        <v>-15.37826123</v>
      </c>
      <c r="K25">
        <v>-20.403543979999998</v>
      </c>
      <c r="L25">
        <v>-25.27259381</v>
      </c>
    </row>
    <row r="26" spans="2:12">
      <c r="B26" t="s">
        <v>24</v>
      </c>
      <c r="C26" t="s">
        <v>6</v>
      </c>
      <c r="D26">
        <v>2.9572595E-2</v>
      </c>
      <c r="E26">
        <v>3.6838878999999998E-2</v>
      </c>
      <c r="F26">
        <v>4.8434467000000002E-2</v>
      </c>
      <c r="G26">
        <v>6.5722827999999997E-2</v>
      </c>
      <c r="H26">
        <v>7.7694374999999996E-2</v>
      </c>
      <c r="I26">
        <v>0.10803477</v>
      </c>
      <c r="J26">
        <v>0.101965153</v>
      </c>
      <c r="K26">
        <v>0.116192165</v>
      </c>
      <c r="L26">
        <v>0.161572933</v>
      </c>
    </row>
    <row r="27" spans="2:12">
      <c r="B27" t="s">
        <v>25</v>
      </c>
      <c r="C27" t="s">
        <v>6</v>
      </c>
      <c r="D27">
        <v>-6.5535946999999997E-2</v>
      </c>
      <c r="E27">
        <v>-0.230928526</v>
      </c>
      <c r="F27">
        <v>-0.49917002399999999</v>
      </c>
      <c r="G27">
        <v>-0.89820296700000002</v>
      </c>
      <c r="H27">
        <v>-1.4393475200000001</v>
      </c>
      <c r="I27">
        <v>-2.1480610229999999</v>
      </c>
      <c r="J27">
        <v>-3.026124373</v>
      </c>
      <c r="K27">
        <v>-4.0317886859999996</v>
      </c>
      <c r="L27">
        <v>-5.2308219420000004</v>
      </c>
    </row>
    <row r="28" spans="2:12">
      <c r="B28" t="s">
        <v>26</v>
      </c>
      <c r="C28" t="s">
        <v>6</v>
      </c>
      <c r="D28">
        <v>1.61918E-3</v>
      </c>
      <c r="E28">
        <v>1.376367E-2</v>
      </c>
      <c r="F28">
        <v>1.8362216000000001E-2</v>
      </c>
      <c r="G28">
        <v>1.5591386E-2</v>
      </c>
      <c r="H28">
        <v>5.6601799999999999E-3</v>
      </c>
      <c r="I28">
        <v>-3.9398343000000002E-2</v>
      </c>
      <c r="J28">
        <v>-9.4285156999999994E-2</v>
      </c>
      <c r="K28">
        <v>-5.4748905E-2</v>
      </c>
      <c r="L28">
        <v>-5.8779749999999999E-2</v>
      </c>
    </row>
    <row r="33" spans="2:12">
      <c r="B33" t="s">
        <v>47</v>
      </c>
      <c r="D33">
        <v>197385.05609999999</v>
      </c>
      <c r="E33">
        <v>394909.07280000002</v>
      </c>
      <c r="F33">
        <v>586686.3676</v>
      </c>
      <c r="G33">
        <v>786006.29410000006</v>
      </c>
      <c r="H33">
        <v>977133.02419999999</v>
      </c>
      <c r="I33">
        <v>1177396.0419999999</v>
      </c>
      <c r="J33">
        <v>1372635.753</v>
      </c>
      <c r="K33">
        <v>1575550.5530000001</v>
      </c>
      <c r="L33">
        <v>1771262.6740000001</v>
      </c>
    </row>
    <row r="34" spans="2:12">
      <c r="B34" t="s">
        <v>48</v>
      </c>
      <c r="C34" t="s">
        <v>6</v>
      </c>
      <c r="D34">
        <v>0.33198826599999998</v>
      </c>
      <c r="E34">
        <v>1.265492627</v>
      </c>
      <c r="F34">
        <v>2.8682400280000002</v>
      </c>
      <c r="G34">
        <v>5.290139817</v>
      </c>
      <c r="H34">
        <v>8.3691488889999999</v>
      </c>
      <c r="I34">
        <v>12.5080119</v>
      </c>
      <c r="J34">
        <v>17.446852239999998</v>
      </c>
      <c r="K34">
        <v>22.93807417</v>
      </c>
      <c r="L34">
        <v>29.27075967</v>
      </c>
    </row>
    <row r="36" spans="2:12">
      <c r="B36" s="1" t="s">
        <v>49</v>
      </c>
      <c r="C36" s="1"/>
      <c r="D36" s="1">
        <f>D27/(0.5*D12*(D9*D9)*0.042*0.32)</f>
        <v>-0.32470932630530575</v>
      </c>
      <c r="E36" s="1">
        <f t="shared" ref="E36:L36" si="0">E27/(0.5*E12*(E9*E9)*0.042*0.32)</f>
        <v>-0.28598893137394316</v>
      </c>
      <c r="F36" s="1">
        <f t="shared" si="0"/>
        <v>-0.27999521189589033</v>
      </c>
      <c r="G36" s="1">
        <f t="shared" si="0"/>
        <v>-0.28036010060693461</v>
      </c>
      <c r="H36" s="1">
        <f t="shared" si="0"/>
        <v>-0.29005624311178707</v>
      </c>
      <c r="I36" s="1">
        <f t="shared" si="0"/>
        <v>-0.29735611628769104</v>
      </c>
      <c r="J36" s="1">
        <f t="shared" si="0"/>
        <v>-0.30904933237616916</v>
      </c>
      <c r="K36" s="1">
        <f t="shared" si="0"/>
        <v>-0.31262820938785785</v>
      </c>
      <c r="L36" s="1">
        <f t="shared" si="0"/>
        <v>-0.31998960242231095</v>
      </c>
    </row>
    <row r="37" spans="2:12">
      <c r="B37" s="1" t="s">
        <v>50</v>
      </c>
      <c r="C37" s="1"/>
      <c r="D37" s="1">
        <v>-0.45557133</v>
      </c>
      <c r="E37" s="1">
        <v>-0.45009220999999999</v>
      </c>
      <c r="F37" s="1">
        <v>-0.47684388599999999</v>
      </c>
      <c r="G37" s="1">
        <v>-0.48912825700000001</v>
      </c>
      <c r="H37" s="1">
        <v>-0.49605640699999998</v>
      </c>
      <c r="I37" s="1">
        <v>-0.49757732799999999</v>
      </c>
      <c r="J37" s="1">
        <v>-0.50257195300000002</v>
      </c>
      <c r="K37" s="1">
        <v>-0.506274424</v>
      </c>
      <c r="L37" s="1">
        <v>-0.49472712800000002</v>
      </c>
    </row>
    <row r="38" spans="2:12">
      <c r="B38" s="1" t="s">
        <v>40</v>
      </c>
      <c r="C38" s="1"/>
      <c r="D38" s="1">
        <v>0.52636608100000004</v>
      </c>
      <c r="E38" s="1">
        <v>0.50151189600000001</v>
      </c>
      <c r="F38" s="1">
        <v>0.51483442400000001</v>
      </c>
      <c r="G38" s="1">
        <v>0.52839518399999996</v>
      </c>
      <c r="H38" s="1">
        <v>0.53969429400000002</v>
      </c>
      <c r="I38" s="1">
        <v>0.55407496199999995</v>
      </c>
      <c r="J38" s="1">
        <v>0.57017490299999996</v>
      </c>
      <c r="K38" s="1">
        <v>0.56916388200000001</v>
      </c>
      <c r="L38" s="1">
        <v>0.57299377299999998</v>
      </c>
    </row>
    <row r="44" spans="2:12">
      <c r="B44" s="1" t="s">
        <v>33</v>
      </c>
      <c r="C44" s="1"/>
      <c r="D44" s="1">
        <f>D17-(0.0071*(D9*D9)+0.0038*D9)</f>
        <v>0.1339619500867805</v>
      </c>
      <c r="E44" s="1">
        <f t="shared" ref="E44:L44" si="1">E17-(0.0071*(E9*E9)+0.0038*E9)</f>
        <v>0.51155158954449631</v>
      </c>
      <c r="F44" s="1">
        <f t="shared" si="1"/>
        <v>1.2309274695525005</v>
      </c>
      <c r="G44" s="1">
        <f t="shared" si="1"/>
        <v>2.3721860099753607</v>
      </c>
      <c r="H44" s="1">
        <f t="shared" si="1"/>
        <v>3.8683184193084497</v>
      </c>
      <c r="I44" s="1">
        <f t="shared" si="1"/>
        <v>5.9717673039780905</v>
      </c>
      <c r="J44" s="1">
        <f t="shared" si="1"/>
        <v>8.6192645875431566</v>
      </c>
      <c r="K44" s="1">
        <f t="shared" si="1"/>
        <v>11.335715564890533</v>
      </c>
      <c r="L44" s="1">
        <f t="shared" si="1"/>
        <v>14.567197541740946</v>
      </c>
    </row>
    <row r="45" spans="2:12">
      <c r="B45" s="8" t="s">
        <v>51</v>
      </c>
      <c r="C45" s="8"/>
      <c r="D45" s="9">
        <f t="shared" ref="D45:L45" si="2">D44/(0.5*D12*(D9*D9)*0.042)</f>
        <v>0.21239614131510937</v>
      </c>
      <c r="E45" s="9">
        <f t="shared" si="2"/>
        <v>0.20272675009267241</v>
      </c>
      <c r="F45" s="9">
        <f t="shared" si="2"/>
        <v>0.22094518891435644</v>
      </c>
      <c r="G45" s="9">
        <f t="shared" si="2"/>
        <v>0.23694112189769417</v>
      </c>
      <c r="H45" s="9">
        <f t="shared" si="2"/>
        <v>0.24945300945578128</v>
      </c>
      <c r="I45" s="9">
        <f t="shared" si="2"/>
        <v>0.26453498501151146</v>
      </c>
      <c r="J45" s="9">
        <f t="shared" si="2"/>
        <v>0.28168338249367986</v>
      </c>
      <c r="K45" s="9">
        <f t="shared" si="2"/>
        <v>0.28127382540558454</v>
      </c>
      <c r="L45" s="9">
        <f t="shared" si="2"/>
        <v>0.28516217460121379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78D24-BD2B-4147-A7B4-07CF666A4AFF}">
  <dimension ref="A1:L24"/>
  <sheetViews>
    <sheetView topLeftCell="A9" zoomScale="112" zoomScaleNormal="166" workbookViewId="0">
      <selection activeCell="I75" sqref="I75"/>
    </sheetView>
  </sheetViews>
  <sheetFormatPr defaultColWidth="11" defaultRowHeight="15.95"/>
  <cols>
    <col min="2" max="2" width="23.375" customWidth="1"/>
    <col min="3" max="3" width="10.625" customWidth="1"/>
    <col min="4" max="4" width="16.625" customWidth="1"/>
    <col min="5" max="5" width="15.625" customWidth="1"/>
  </cols>
  <sheetData>
    <row r="1" spans="1:12">
      <c r="B1" s="1" t="s">
        <v>27</v>
      </c>
      <c r="C1" s="1"/>
      <c r="D1" s="1">
        <v>198661.73050000001</v>
      </c>
      <c r="E1" s="1">
        <v>393368.69689999998</v>
      </c>
      <c r="F1" s="1">
        <v>587418.62849999999</v>
      </c>
      <c r="G1" s="1">
        <v>781631.16700000002</v>
      </c>
      <c r="H1" s="1">
        <v>975683.35279999999</v>
      </c>
      <c r="I1" s="1">
        <v>1170370.1359999999</v>
      </c>
      <c r="J1" s="1">
        <v>1368993.693</v>
      </c>
      <c r="K1" s="1">
        <v>1570278.777</v>
      </c>
      <c r="L1" s="1">
        <v>1764591.307</v>
      </c>
    </row>
    <row r="2" spans="1:12">
      <c r="B2" s="1" t="s">
        <v>36</v>
      </c>
      <c r="C2" s="1"/>
      <c r="D2" s="1">
        <v>200779.78690000001</v>
      </c>
      <c r="E2" s="1">
        <v>395188.84100000001</v>
      </c>
      <c r="F2" s="1">
        <v>582861.43409999995</v>
      </c>
      <c r="G2" s="1">
        <v>782140.75309999997</v>
      </c>
      <c r="H2" s="1">
        <v>973726.91249999998</v>
      </c>
      <c r="I2" s="1">
        <v>1161913.6410000001</v>
      </c>
      <c r="J2" s="1">
        <v>1362726.405</v>
      </c>
      <c r="K2" s="1">
        <v>1552563.4080000001</v>
      </c>
      <c r="L2" s="1">
        <v>1750630.449</v>
      </c>
    </row>
    <row r="3" spans="1:12">
      <c r="B3" t="s">
        <v>42</v>
      </c>
      <c r="D3">
        <v>195468.6874</v>
      </c>
      <c r="E3">
        <v>395907.02059999999</v>
      </c>
      <c r="F3">
        <v>584105.06129999994</v>
      </c>
      <c r="G3">
        <v>775264.35840000003</v>
      </c>
      <c r="H3">
        <v>976194.16009999998</v>
      </c>
      <c r="I3">
        <v>1164948.1499999999</v>
      </c>
      <c r="J3">
        <v>1360765.202</v>
      </c>
      <c r="K3">
        <v>1567772.973</v>
      </c>
      <c r="L3">
        <v>1763449.8629999999</v>
      </c>
    </row>
    <row r="4" spans="1:12">
      <c r="B4" t="s">
        <v>47</v>
      </c>
      <c r="D4">
        <v>197385.05609999999</v>
      </c>
      <c r="E4">
        <v>394909.07280000002</v>
      </c>
      <c r="F4">
        <v>586686.3676</v>
      </c>
      <c r="G4">
        <v>786006.29410000006</v>
      </c>
      <c r="H4">
        <v>977133.02419999999</v>
      </c>
      <c r="I4">
        <v>1177396.0419999999</v>
      </c>
      <c r="J4">
        <v>1372635.753</v>
      </c>
      <c r="K4">
        <v>1575550.5530000001</v>
      </c>
      <c r="L4">
        <v>1771262.6740000001</v>
      </c>
    </row>
    <row r="5" spans="1:12">
      <c r="A5" s="10" t="s">
        <v>52</v>
      </c>
      <c r="B5" s="10"/>
      <c r="C5" s="10"/>
      <c r="D5" s="10">
        <f>(D1+D2+D3+D4)/4</f>
        <v>198073.81522499997</v>
      </c>
      <c r="E5" s="10">
        <f t="shared" ref="E5:L5" si="0">(E1+E2+E3+E4)/4</f>
        <v>394843.407825</v>
      </c>
      <c r="F5" s="10">
        <f t="shared" si="0"/>
        <v>585267.87287499988</v>
      </c>
      <c r="G5" s="10">
        <f t="shared" si="0"/>
        <v>781260.64315000002</v>
      </c>
      <c r="H5" s="10">
        <f t="shared" si="0"/>
        <v>975684.36239999998</v>
      </c>
      <c r="I5" s="10">
        <f t="shared" si="0"/>
        <v>1168656.9922499999</v>
      </c>
      <c r="J5" s="10">
        <f t="shared" si="0"/>
        <v>1366280.2632500001</v>
      </c>
      <c r="K5" s="10">
        <f t="shared" si="0"/>
        <v>1566541.42775</v>
      </c>
      <c r="L5" s="10">
        <f t="shared" si="0"/>
        <v>1762483.5732499999</v>
      </c>
    </row>
    <row r="7" spans="1:12">
      <c r="B7" s="1" t="s">
        <v>31</v>
      </c>
      <c r="C7" s="1"/>
      <c r="D7" s="1">
        <v>-0.25937023300000001</v>
      </c>
      <c r="E7" s="1">
        <v>-0.26238925800000001</v>
      </c>
      <c r="F7" s="1">
        <v>-0.300215756</v>
      </c>
      <c r="G7" s="1">
        <v>-0.316066175</v>
      </c>
      <c r="H7" s="1">
        <v>-0.33570182700000001</v>
      </c>
      <c r="I7" s="1">
        <v>-0.33170905899999997</v>
      </c>
      <c r="J7" s="1">
        <v>-0.34257283900000002</v>
      </c>
      <c r="K7" s="1">
        <v>-0.33688701900000001</v>
      </c>
      <c r="L7" s="1">
        <v>-0.31486232600000003</v>
      </c>
    </row>
    <row r="8" spans="1:12">
      <c r="B8" s="1" t="s">
        <v>39</v>
      </c>
      <c r="C8" s="1"/>
      <c r="D8" s="1">
        <v>-0.43436330099999998</v>
      </c>
      <c r="E8" s="1">
        <v>-0.488914497</v>
      </c>
      <c r="F8" s="1">
        <v>-0.52007713499999997</v>
      </c>
      <c r="G8" s="1">
        <v>-0.53009417800000003</v>
      </c>
      <c r="H8" s="1">
        <v>-0.54101447300000005</v>
      </c>
      <c r="I8" s="1">
        <v>-0.54567916599999999</v>
      </c>
      <c r="J8" s="1">
        <v>-0.55402598000000003</v>
      </c>
      <c r="K8" s="1">
        <v>-0.55964584100000003</v>
      </c>
      <c r="L8" s="1">
        <v>-0.57030819899999996</v>
      </c>
    </row>
    <row r="9" spans="1:12">
      <c r="B9" s="1" t="s">
        <v>45</v>
      </c>
      <c r="C9" s="1"/>
      <c r="D9" s="1">
        <v>-0.33033343999999998</v>
      </c>
      <c r="E9" s="1">
        <v>-0.28791250400000001</v>
      </c>
      <c r="F9" s="1">
        <v>-0.31910303800000001</v>
      </c>
      <c r="G9" s="1">
        <v>-0.31496041899999999</v>
      </c>
      <c r="H9" s="1">
        <v>-0.32588182700000001</v>
      </c>
      <c r="I9" s="1">
        <v>-0.330842411</v>
      </c>
      <c r="J9" s="1">
        <v>-0.33676188899999998</v>
      </c>
      <c r="K9" s="1">
        <v>-0.33245464000000002</v>
      </c>
      <c r="L9" s="1">
        <v>-0.30278647800000003</v>
      </c>
    </row>
    <row r="10" spans="1:12">
      <c r="B10" s="1" t="s">
        <v>50</v>
      </c>
      <c r="C10" s="1"/>
      <c r="D10" s="1">
        <v>-0.45557133</v>
      </c>
      <c r="E10" s="1">
        <v>-0.45009220999999999</v>
      </c>
      <c r="F10" s="1">
        <v>-0.47684388599999999</v>
      </c>
      <c r="G10" s="1">
        <v>-0.48912825700000001</v>
      </c>
      <c r="H10" s="1">
        <v>-0.49605640699999998</v>
      </c>
      <c r="I10" s="1">
        <v>-0.49757732799999999</v>
      </c>
      <c r="J10" s="1">
        <v>-0.50257195300000002</v>
      </c>
      <c r="K10" s="1">
        <v>-0.506274424</v>
      </c>
      <c r="L10" s="1">
        <v>-0.49472712800000002</v>
      </c>
    </row>
    <row r="13" spans="1:12" s="7" customFormat="1" ht="15.95" customHeight="1">
      <c r="B13" s="8" t="s">
        <v>34</v>
      </c>
      <c r="C13" s="8"/>
      <c r="D13" s="9">
        <v>0.1938136539750285</v>
      </c>
      <c r="E13" s="9">
        <v>0.18115115692935194</v>
      </c>
      <c r="F13" s="9">
        <v>0.20779638049214277</v>
      </c>
      <c r="G13" s="9">
        <v>0.23465663713253351</v>
      </c>
      <c r="H13" s="9">
        <v>0.26869017488302932</v>
      </c>
      <c r="I13" s="9">
        <v>0.27223771961041443</v>
      </c>
      <c r="J13" s="9">
        <v>0.28988980737430853</v>
      </c>
      <c r="K13" s="9">
        <v>0.28606238024374303</v>
      </c>
      <c r="L13" s="9">
        <v>0.2933350801843928</v>
      </c>
    </row>
    <row r="14" spans="1:12">
      <c r="B14" s="8" t="s">
        <v>41</v>
      </c>
      <c r="C14" s="8"/>
      <c r="D14" s="9">
        <v>0.21844676173684099</v>
      </c>
      <c r="E14" s="9">
        <v>0.2407679680005187</v>
      </c>
      <c r="F14" s="9">
        <v>0.25477132061764146</v>
      </c>
      <c r="G14" s="9">
        <v>0.26049795344712717</v>
      </c>
      <c r="H14" s="9">
        <v>0.26349962032504248</v>
      </c>
      <c r="I14" s="9">
        <v>0.271087179751129</v>
      </c>
      <c r="J14" s="9">
        <v>0.27753683043380933</v>
      </c>
      <c r="K14" s="9">
        <v>0.28719974963980222</v>
      </c>
      <c r="L14" s="9">
        <v>0.28977654531948027</v>
      </c>
    </row>
    <row r="15" spans="1:12">
      <c r="B15" s="8" t="s">
        <v>46</v>
      </c>
      <c r="C15" s="8"/>
      <c r="D15" s="9">
        <v>0.20974278783196837</v>
      </c>
      <c r="E15" s="9">
        <v>0.18838677164954373</v>
      </c>
      <c r="F15" s="9">
        <v>0.2078080831477653</v>
      </c>
      <c r="G15" s="9">
        <v>0.22114875021967745</v>
      </c>
      <c r="H15" s="9">
        <v>0.24596807873951801</v>
      </c>
      <c r="I15" s="9">
        <v>0.26276812456900484</v>
      </c>
      <c r="J15" s="9">
        <v>0.28223458341088203</v>
      </c>
      <c r="K15" s="9">
        <v>0.28275831363849441</v>
      </c>
      <c r="L15" s="9">
        <v>0.28813480437492661</v>
      </c>
    </row>
    <row r="16" spans="1:12">
      <c r="B16" s="8" t="s">
        <v>51</v>
      </c>
      <c r="C16" s="8"/>
      <c r="D16" s="9">
        <v>0.21239614131510937</v>
      </c>
      <c r="E16" s="9">
        <v>0.20272675009267241</v>
      </c>
      <c r="F16" s="9">
        <v>0.22094518891435644</v>
      </c>
      <c r="G16" s="9">
        <v>0.23694112189769417</v>
      </c>
      <c r="H16" s="9">
        <v>0.24945300945578128</v>
      </c>
      <c r="I16" s="9">
        <v>0.26453498501151146</v>
      </c>
      <c r="J16" s="9">
        <v>0.28168338249367986</v>
      </c>
      <c r="K16" s="9">
        <v>0.28127382540558454</v>
      </c>
      <c r="L16" s="9">
        <v>0.28516217460121379</v>
      </c>
    </row>
    <row r="18" spans="2:12">
      <c r="B18" s="8"/>
      <c r="C18" s="8"/>
      <c r="D18" s="9"/>
      <c r="E18" s="9"/>
      <c r="F18" s="9"/>
      <c r="G18" s="9"/>
      <c r="H18" s="9"/>
      <c r="I18" s="9"/>
      <c r="J18" s="9"/>
      <c r="K18" s="9"/>
      <c r="L18" s="9"/>
    </row>
    <row r="20" spans="2:12">
      <c r="D20" s="9"/>
    </row>
    <row r="21" spans="2:12">
      <c r="B21" s="1" t="s">
        <v>30</v>
      </c>
      <c r="C21" s="1"/>
      <c r="D21" s="1">
        <v>-0.39870085104071629</v>
      </c>
      <c r="E21" s="1">
        <v>-0.38023706942879754</v>
      </c>
      <c r="F21" s="1">
        <v>-0.36692930676427488</v>
      </c>
      <c r="G21" s="1">
        <v>-0.38020859138037494</v>
      </c>
      <c r="H21" s="1">
        <v>-0.39584574834985575</v>
      </c>
      <c r="I21" s="1">
        <v>-0.41271777536452797</v>
      </c>
      <c r="J21" s="1">
        <v>-0.41590777883365071</v>
      </c>
      <c r="K21" s="1">
        <v>-0.41364577851329293</v>
      </c>
      <c r="L21" s="1">
        <v>-0.43004039000339678</v>
      </c>
    </row>
    <row r="22" spans="2:12">
      <c r="B22" s="11" t="s">
        <v>38</v>
      </c>
      <c r="C22" s="11"/>
      <c r="D22" s="11">
        <v>-0.33495920000000001</v>
      </c>
      <c r="E22" s="11">
        <v>-0.28644209999999998</v>
      </c>
      <c r="F22" s="11">
        <v>-0.28196520000000003</v>
      </c>
      <c r="G22" s="11">
        <v>-0.28620630000000002</v>
      </c>
      <c r="H22" s="11">
        <v>-0.29284840000000001</v>
      </c>
      <c r="I22" s="11">
        <v>-0.30298449999999999</v>
      </c>
      <c r="J22" s="11">
        <v>-0.31458320000000001</v>
      </c>
      <c r="K22" s="11">
        <v>-0.329955</v>
      </c>
      <c r="L22" s="11">
        <v>-0.33619830000000001</v>
      </c>
    </row>
    <row r="23" spans="2:12">
      <c r="B23" s="1" t="s">
        <v>44</v>
      </c>
      <c r="C23" s="1"/>
      <c r="D23" s="1">
        <v>-0.38550427022716571</v>
      </c>
      <c r="E23" s="1">
        <v>-0.37947173755237812</v>
      </c>
      <c r="F23" s="1">
        <v>-0.36710531067547414</v>
      </c>
      <c r="G23" s="1">
        <v>-0.38247960608059595</v>
      </c>
      <c r="H23" s="1">
        <v>-0.39670256317274633</v>
      </c>
      <c r="I23" s="1">
        <v>-0.40005124720581609</v>
      </c>
      <c r="J23" s="1">
        <v>-0.41178065935381081</v>
      </c>
      <c r="K23" s="1">
        <v>-0.41192158102999071</v>
      </c>
      <c r="L23" s="1">
        <v>-0.43089281122559547</v>
      </c>
    </row>
    <row r="24" spans="2:12">
      <c r="B24" s="1" t="s">
        <v>49</v>
      </c>
      <c r="C24" s="1"/>
      <c r="D24" s="1">
        <v>-0.32470932630530575</v>
      </c>
      <c r="E24" s="1">
        <v>-0.28598893137394316</v>
      </c>
      <c r="F24" s="1">
        <v>-0.27999521189589033</v>
      </c>
      <c r="G24" s="1">
        <v>-0.28036010060693461</v>
      </c>
      <c r="H24" s="1">
        <v>-0.29005624311178707</v>
      </c>
      <c r="I24" s="1">
        <v>-0.29735611628769104</v>
      </c>
      <c r="J24" s="1">
        <v>-0.30904933237616916</v>
      </c>
      <c r="K24" s="1">
        <v>-0.31262820938785785</v>
      </c>
      <c r="L24" s="1">
        <v>-0.31998960242231095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01E98-BF28-CF4C-BCCF-91B8BFB1B2A0}">
  <dimension ref="A3:E14"/>
  <sheetViews>
    <sheetView topLeftCell="A31" zoomScale="150" zoomScaleNormal="150" workbookViewId="0"/>
  </sheetViews>
  <sheetFormatPr defaultColWidth="11" defaultRowHeight="15.95"/>
  <cols>
    <col min="1" max="1" width="18.5" customWidth="1"/>
    <col min="2" max="2" width="20" customWidth="1"/>
    <col min="3" max="3" width="22" customWidth="1"/>
    <col min="4" max="4" width="21.875" customWidth="1"/>
    <col min="5" max="5" width="19.5" customWidth="1"/>
  </cols>
  <sheetData>
    <row r="3" spans="1:5">
      <c r="B3" s="2"/>
      <c r="C3" s="2"/>
      <c r="D3" s="2"/>
      <c r="E3" s="2"/>
    </row>
    <row r="4" spans="1:5">
      <c r="A4" s="2"/>
      <c r="B4" s="3"/>
      <c r="C4" s="3"/>
      <c r="D4" s="3"/>
      <c r="E4" s="3"/>
    </row>
    <row r="14" spans="1:5">
      <c r="A14" s="1"/>
      <c r="B14" s="1"/>
      <c r="C14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69E35-1524-6F47-85FC-E0C273BB3171}">
  <dimension ref="A3:F12"/>
  <sheetViews>
    <sheetView zoomScale="107" workbookViewId="0">
      <selection sqref="A1:XFD1048576"/>
    </sheetView>
  </sheetViews>
  <sheetFormatPr defaultColWidth="11" defaultRowHeight="15.95"/>
  <cols>
    <col min="1" max="1" width="22.625" customWidth="1"/>
    <col min="2" max="2" width="20.5" customWidth="1"/>
    <col min="3" max="3" width="14" customWidth="1"/>
    <col min="4" max="4" width="16.875" customWidth="1"/>
  </cols>
  <sheetData>
    <row r="3" spans="1:6">
      <c r="B3" s="2"/>
      <c r="C3" s="2"/>
      <c r="D3" s="2"/>
      <c r="E3" s="2"/>
      <c r="F3" s="2"/>
    </row>
    <row r="4" spans="1:6">
      <c r="A4" s="2"/>
      <c r="B4" s="3"/>
      <c r="C4" s="3"/>
      <c r="D4" s="3"/>
      <c r="E4" s="3"/>
      <c r="F4" s="3"/>
    </row>
    <row r="12" spans="1:6">
      <c r="A12" s="1"/>
      <c r="B12" s="1"/>
      <c r="C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Jassa Singh</dc:creator>
  <cp:keywords/>
  <dc:description/>
  <cp:lastModifiedBy>Jia Foo</cp:lastModifiedBy>
  <cp:revision/>
  <dcterms:created xsi:type="dcterms:W3CDTF">2025-02-17T10:58:37Z</dcterms:created>
  <dcterms:modified xsi:type="dcterms:W3CDTF">2025-04-01T18:32:39Z</dcterms:modified>
  <cp:category/>
  <cp:contentStatus/>
</cp:coreProperties>
</file>